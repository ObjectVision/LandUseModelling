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JIPCLA~1\AppData\Local\Temp\claude\C--Users-JipClaassens--claude-spares-spare-Kzjcrm\3071c225-b9f3-43c7-9866-b5bfab8ca8c1\scratchpad\"/>
    </mc:Choice>
  </mc:AlternateContent>
  <xr:revisionPtr revIDLastSave="0" documentId="13_ncr:1_{9952EC6D-870F-4A98-9346-CAD460FA9F84}" xr6:coauthVersionLast="47" xr6:coauthVersionMax="47" xr10:uidLastSave="{00000000-0000-0000-0000-000000000000}"/>
  <bookViews>
    <workbookView xWindow="-120" yWindow="-120" windowWidth="51840" windowHeight="21120" xr2:uid="{00000000-000D-0000-FFFF-FFFF00000000}"/>
  </bookViews>
  <sheets>
    <sheet name="Explanation" sheetId="1" r:id="rId1"/>
    <sheet name="Years" sheetId="2" r:id="rId2"/>
    <sheet name="COROP" sheetId="3" r:id="rId3"/>
    <sheet name="Parameters" sheetId="4" r:id="rId4"/>
    <sheet name="Province" sheetId="5" r:id="rId5"/>
    <sheet name="Residential" sheetId="6" r:id="rId6"/>
    <sheet name="Industrial" sheetId="7" r:id="rId7"/>
    <sheet name="Recreation" sheetId="8" r:id="rId8"/>
    <sheet name="Nature" sheetId="9" r:id="rId9"/>
    <sheet name="BuildingLot" sheetId="10" r:id="rId10"/>
    <sheet name="Agriculture"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5" i="4" l="1"/>
  <c r="B26" i="4" s="1"/>
  <c r="B5" i="4" s="1"/>
  <c r="G15" i="4"/>
  <c r="E15" i="4"/>
  <c r="G14" i="4"/>
  <c r="E14" i="4"/>
  <c r="G13" i="4"/>
  <c r="E13" i="4"/>
  <c r="H13" i="4" s="1"/>
  <c r="G12" i="4"/>
  <c r="E12" i="4"/>
  <c r="G11" i="4"/>
  <c r="E11" i="4"/>
  <c r="H11" i="4" s="1"/>
  <c r="G10" i="4"/>
  <c r="E10" i="4"/>
  <c r="B4" i="4"/>
  <c r="B2" i="4"/>
  <c r="AA41" i="3"/>
  <c r="Z41" i="3"/>
  <c r="Y41" i="3"/>
  <c r="X41" i="3"/>
  <c r="W41" i="3"/>
  <c r="V41" i="3"/>
  <c r="U41" i="3"/>
  <c r="T41" i="3"/>
  <c r="S41" i="3"/>
  <c r="R41" i="3"/>
  <c r="AA40" i="3"/>
  <c r="Z40" i="3"/>
  <c r="Y40" i="3"/>
  <c r="X40" i="3"/>
  <c r="W40" i="3"/>
  <c r="V40" i="3"/>
  <c r="U40" i="3"/>
  <c r="T40" i="3"/>
  <c r="S40" i="3"/>
  <c r="R40" i="3"/>
  <c r="AA39" i="3"/>
  <c r="Z39" i="3"/>
  <c r="Y39" i="3"/>
  <c r="X39" i="3"/>
  <c r="W39" i="3"/>
  <c r="V39" i="3"/>
  <c r="U39" i="3"/>
  <c r="T39" i="3"/>
  <c r="S39" i="3"/>
  <c r="R39" i="3"/>
  <c r="AA38" i="3"/>
  <c r="Z38" i="3"/>
  <c r="Y38" i="3"/>
  <c r="X38" i="3"/>
  <c r="W38" i="3"/>
  <c r="V38" i="3"/>
  <c r="U38" i="3"/>
  <c r="T38" i="3"/>
  <c r="S38" i="3"/>
  <c r="R38" i="3"/>
  <c r="AA37" i="3"/>
  <c r="Z37" i="3"/>
  <c r="Y37" i="3"/>
  <c r="X37" i="3"/>
  <c r="W37" i="3"/>
  <c r="V37" i="3"/>
  <c r="U37" i="3"/>
  <c r="T37" i="3"/>
  <c r="S37" i="3"/>
  <c r="R37" i="3"/>
  <c r="AA36" i="3"/>
  <c r="Z36" i="3"/>
  <c r="Y36" i="3"/>
  <c r="X36" i="3"/>
  <c r="W36" i="3"/>
  <c r="V36" i="3"/>
  <c r="U36" i="3"/>
  <c r="T36" i="3"/>
  <c r="S36" i="3"/>
  <c r="R36" i="3"/>
  <c r="AA35" i="3"/>
  <c r="Z35" i="3"/>
  <c r="Y35" i="3"/>
  <c r="X35" i="3"/>
  <c r="W35" i="3"/>
  <c r="V35" i="3"/>
  <c r="U35" i="3"/>
  <c r="T35" i="3"/>
  <c r="S35" i="3"/>
  <c r="R35" i="3"/>
  <c r="AA34" i="3"/>
  <c r="Z34" i="3"/>
  <c r="AM11" i="5" s="1"/>
  <c r="N11" i="9" s="1"/>
  <c r="Y34" i="3"/>
  <c r="X34" i="3"/>
  <c r="W34" i="3"/>
  <c r="V34" i="3"/>
  <c r="U34" i="3"/>
  <c r="T34" i="3"/>
  <c r="S34" i="3"/>
  <c r="R34" i="3"/>
  <c r="AA33" i="3"/>
  <c r="Z33" i="3"/>
  <c r="Y33" i="3"/>
  <c r="X33" i="3"/>
  <c r="W33" i="3"/>
  <c r="V33" i="3"/>
  <c r="U33" i="3"/>
  <c r="T33" i="3"/>
  <c r="S33" i="3"/>
  <c r="R33" i="3"/>
  <c r="AA32" i="3"/>
  <c r="Z32" i="3"/>
  <c r="Y32" i="3"/>
  <c r="X32" i="3"/>
  <c r="W32" i="3"/>
  <c r="V32" i="3"/>
  <c r="U32" i="3"/>
  <c r="T32" i="3"/>
  <c r="S32" i="3"/>
  <c r="R32" i="3"/>
  <c r="AA31" i="3"/>
  <c r="Z31" i="3"/>
  <c r="Y31" i="3"/>
  <c r="X31" i="3"/>
  <c r="W31" i="3"/>
  <c r="V31" i="3"/>
  <c r="U31" i="3"/>
  <c r="T31" i="3"/>
  <c r="S31" i="3"/>
  <c r="R31" i="3"/>
  <c r="AA30" i="3"/>
  <c r="Z30" i="3"/>
  <c r="Y30" i="3"/>
  <c r="X30" i="3"/>
  <c r="W30" i="3"/>
  <c r="V30" i="3"/>
  <c r="U30" i="3"/>
  <c r="T30" i="3"/>
  <c r="S30" i="3"/>
  <c r="R30" i="3"/>
  <c r="AA29" i="3"/>
  <c r="Z29" i="3"/>
  <c r="Y29" i="3"/>
  <c r="X29" i="3"/>
  <c r="W29" i="3"/>
  <c r="V29" i="3"/>
  <c r="U29" i="3"/>
  <c r="T29" i="3"/>
  <c r="S29" i="3"/>
  <c r="R29" i="3"/>
  <c r="AA28" i="3"/>
  <c r="Z28" i="3"/>
  <c r="Y28" i="3"/>
  <c r="X28" i="3"/>
  <c r="W28" i="3"/>
  <c r="V28" i="3"/>
  <c r="U28" i="3"/>
  <c r="T28" i="3"/>
  <c r="S28" i="3"/>
  <c r="R28" i="3"/>
  <c r="AA27" i="3"/>
  <c r="Z27" i="3"/>
  <c r="Y27" i="3"/>
  <c r="X27" i="3"/>
  <c r="W27" i="3"/>
  <c r="V27" i="3"/>
  <c r="U27" i="3"/>
  <c r="T27" i="3"/>
  <c r="S27" i="3"/>
  <c r="R27" i="3"/>
  <c r="AA26" i="3"/>
  <c r="Z26" i="3"/>
  <c r="Y26" i="3"/>
  <c r="X26" i="3"/>
  <c r="W26" i="3"/>
  <c r="V26" i="3"/>
  <c r="U26" i="3"/>
  <c r="T26" i="3"/>
  <c r="S26" i="3"/>
  <c r="R26" i="3"/>
  <c r="AA25" i="3"/>
  <c r="Z25" i="3"/>
  <c r="Y25" i="3"/>
  <c r="X25" i="3"/>
  <c r="W25" i="3"/>
  <c r="V25" i="3"/>
  <c r="U25" i="3"/>
  <c r="T25" i="3"/>
  <c r="S25" i="3"/>
  <c r="R25" i="3"/>
  <c r="AA24" i="3"/>
  <c r="Z24" i="3"/>
  <c r="Y24" i="3"/>
  <c r="X24" i="3"/>
  <c r="W24" i="3"/>
  <c r="V24" i="3"/>
  <c r="U24" i="3"/>
  <c r="T24" i="3"/>
  <c r="S24" i="3"/>
  <c r="R24" i="3"/>
  <c r="AA23" i="3"/>
  <c r="Z23" i="3"/>
  <c r="Y23" i="3"/>
  <c r="X23" i="3"/>
  <c r="W23" i="3"/>
  <c r="V23" i="3"/>
  <c r="U23" i="3"/>
  <c r="T23" i="3"/>
  <c r="S23" i="3"/>
  <c r="R23" i="3"/>
  <c r="AA22" i="3"/>
  <c r="Z22" i="3"/>
  <c r="Y22" i="3"/>
  <c r="X22" i="3"/>
  <c r="W22" i="3"/>
  <c r="V22" i="3"/>
  <c r="U22" i="3"/>
  <c r="T22" i="3"/>
  <c r="S22" i="3"/>
  <c r="R22" i="3"/>
  <c r="AA21" i="3"/>
  <c r="Z21" i="3"/>
  <c r="Y21" i="3"/>
  <c r="X21" i="3"/>
  <c r="W21" i="3"/>
  <c r="V21" i="3"/>
  <c r="U21" i="3"/>
  <c r="T21" i="3"/>
  <c r="S21" i="3"/>
  <c r="R21" i="3"/>
  <c r="AA20" i="3"/>
  <c r="Z20" i="3"/>
  <c r="Y20" i="3"/>
  <c r="X20" i="3"/>
  <c r="W20" i="3"/>
  <c r="V20" i="3"/>
  <c r="U20" i="3"/>
  <c r="T20" i="3"/>
  <c r="S20" i="3"/>
  <c r="R20" i="3"/>
  <c r="AA19" i="3"/>
  <c r="Z19" i="3"/>
  <c r="O8" i="5" s="1"/>
  <c r="Y19" i="3"/>
  <c r="X19" i="3"/>
  <c r="W19" i="3"/>
  <c r="V19" i="3"/>
  <c r="U19" i="3"/>
  <c r="T19" i="3"/>
  <c r="S19" i="3"/>
  <c r="R19" i="3"/>
  <c r="AA18" i="3"/>
  <c r="Z18" i="3"/>
  <c r="Y18" i="3"/>
  <c r="X18" i="3"/>
  <c r="W18" i="3"/>
  <c r="V18" i="3"/>
  <c r="U18" i="3"/>
  <c r="T18" i="3"/>
  <c r="S18" i="3"/>
  <c r="R18" i="3"/>
  <c r="AA17" i="3"/>
  <c r="Z17" i="3"/>
  <c r="Y17" i="3"/>
  <c r="X17" i="3"/>
  <c r="W17" i="3"/>
  <c r="V17" i="3"/>
  <c r="U17" i="3"/>
  <c r="T17" i="3"/>
  <c r="S17" i="3"/>
  <c r="R17" i="3"/>
  <c r="AA16" i="3"/>
  <c r="Z16" i="3"/>
  <c r="Y16" i="3"/>
  <c r="X16" i="3"/>
  <c r="W16" i="3"/>
  <c r="V16" i="3"/>
  <c r="U16" i="3"/>
  <c r="T16" i="3"/>
  <c r="S16" i="3"/>
  <c r="R16" i="3"/>
  <c r="AA15" i="3"/>
  <c r="Z15" i="3"/>
  <c r="Y15" i="3"/>
  <c r="X15" i="3"/>
  <c r="W15" i="3"/>
  <c r="V15" i="3"/>
  <c r="U15" i="3"/>
  <c r="T15" i="3"/>
  <c r="S15" i="3"/>
  <c r="R15" i="3"/>
  <c r="AA14" i="3"/>
  <c r="Z14" i="3"/>
  <c r="AM6" i="5" s="1"/>
  <c r="N6" i="9" s="1"/>
  <c r="Y14" i="3"/>
  <c r="X14" i="3"/>
  <c r="W14" i="3"/>
  <c r="V14" i="3"/>
  <c r="U14" i="3"/>
  <c r="T14" i="3"/>
  <c r="S14" i="3"/>
  <c r="R14" i="3"/>
  <c r="AA13" i="3"/>
  <c r="Z13" i="3"/>
  <c r="Y13" i="3"/>
  <c r="X13" i="3"/>
  <c r="W13" i="3"/>
  <c r="V13" i="3"/>
  <c r="U13" i="3"/>
  <c r="T13" i="3"/>
  <c r="S13" i="3"/>
  <c r="R13" i="3"/>
  <c r="AA12" i="3"/>
  <c r="Z12" i="3"/>
  <c r="Y12" i="3"/>
  <c r="X12" i="3"/>
  <c r="W12" i="3"/>
  <c r="V12" i="3"/>
  <c r="U12" i="3"/>
  <c r="T12" i="3"/>
  <c r="S12" i="3"/>
  <c r="R12" i="3"/>
  <c r="AA11" i="3"/>
  <c r="Z11" i="3"/>
  <c r="AM5" i="5" s="1"/>
  <c r="N5" i="9" s="1"/>
  <c r="Y11" i="3"/>
  <c r="X11" i="3"/>
  <c r="W11" i="3"/>
  <c r="V11" i="3"/>
  <c r="U11" i="3"/>
  <c r="T11" i="3"/>
  <c r="S11" i="3"/>
  <c r="R11" i="3"/>
  <c r="AA10" i="3"/>
  <c r="Z10" i="3"/>
  <c r="Y10" i="3"/>
  <c r="X10" i="3"/>
  <c r="W10" i="3"/>
  <c r="V10" i="3"/>
  <c r="U10" i="3"/>
  <c r="T10" i="3"/>
  <c r="S10" i="3"/>
  <c r="R10" i="3"/>
  <c r="AA9" i="3"/>
  <c r="Z9" i="3"/>
  <c r="Y9" i="3"/>
  <c r="X9" i="3"/>
  <c r="W9" i="3"/>
  <c r="V9" i="3"/>
  <c r="U9" i="3"/>
  <c r="T9" i="3"/>
  <c r="S9" i="3"/>
  <c r="R9" i="3"/>
  <c r="AA8" i="3"/>
  <c r="AA4" i="5" s="1"/>
  <c r="K4" i="9" s="1"/>
  <c r="Z8" i="3"/>
  <c r="Y8" i="3"/>
  <c r="X8" i="3"/>
  <c r="W8" i="3"/>
  <c r="V8" i="3"/>
  <c r="U8" i="3"/>
  <c r="T8" i="3"/>
  <c r="S8" i="3"/>
  <c r="R8" i="3"/>
  <c r="AA7" i="3"/>
  <c r="Z7" i="3"/>
  <c r="Y7" i="3"/>
  <c r="X7" i="3"/>
  <c r="W7" i="3"/>
  <c r="V7" i="3"/>
  <c r="U7" i="3"/>
  <c r="T7" i="3"/>
  <c r="S7" i="3"/>
  <c r="R7" i="3"/>
  <c r="AA6" i="3"/>
  <c r="Z6" i="3"/>
  <c r="Y6" i="3"/>
  <c r="X6" i="3"/>
  <c r="W6" i="3"/>
  <c r="V6" i="3"/>
  <c r="U6" i="3"/>
  <c r="T6" i="3"/>
  <c r="S6" i="3"/>
  <c r="R6" i="3"/>
  <c r="AA5" i="3"/>
  <c r="Z5" i="3"/>
  <c r="O3" i="5" s="1"/>
  <c r="Y5" i="3"/>
  <c r="X5" i="3"/>
  <c r="W5" i="3"/>
  <c r="V5" i="3"/>
  <c r="U5" i="3"/>
  <c r="T5" i="3"/>
  <c r="S5" i="3"/>
  <c r="R5" i="3"/>
  <c r="AA4" i="3"/>
  <c r="Z4" i="3"/>
  <c r="Y4" i="3"/>
  <c r="X4" i="3"/>
  <c r="W4" i="3"/>
  <c r="V4" i="3"/>
  <c r="U4" i="3"/>
  <c r="T4" i="3"/>
  <c r="S4" i="3"/>
  <c r="R4" i="3"/>
  <c r="AA3" i="3"/>
  <c r="Z3" i="3"/>
  <c r="Y3" i="3"/>
  <c r="X3" i="3"/>
  <c r="W3" i="3"/>
  <c r="V3" i="3"/>
  <c r="U3" i="3"/>
  <c r="T3" i="3"/>
  <c r="S3" i="3"/>
  <c r="R3" i="3"/>
  <c r="AA2" i="3"/>
  <c r="Z2" i="3"/>
  <c r="Y2" i="3"/>
  <c r="X2" i="3"/>
  <c r="W2" i="3"/>
  <c r="V2" i="3"/>
  <c r="U2" i="3"/>
  <c r="T2" i="3"/>
  <c r="S2" i="3"/>
  <c r="R2" i="3"/>
  <c r="H8" i="9" l="1"/>
  <c r="E8" i="9"/>
  <c r="H3" i="9"/>
  <c r="E3" i="9"/>
  <c r="W2" i="5"/>
  <c r="AV2" i="5"/>
  <c r="K3" i="5"/>
  <c r="AU4" i="5"/>
  <c r="L5" i="5"/>
  <c r="L6" i="5"/>
  <c r="AI6" i="5"/>
  <c r="AI7" i="5"/>
  <c r="AI8" i="5"/>
  <c r="AI9" i="5"/>
  <c r="AJ9" i="5"/>
  <c r="N9" i="8" s="1"/>
  <c r="X13" i="5"/>
  <c r="K13" i="8" s="1"/>
  <c r="AI13" i="5"/>
  <c r="AJ13" i="5"/>
  <c r="N13" i="8" s="1"/>
  <c r="AJ2" i="5"/>
  <c r="L3" i="5"/>
  <c r="L4" i="5"/>
  <c r="X5" i="5"/>
  <c r="K5" i="8" s="1"/>
  <c r="AU6" i="5"/>
  <c r="AV6" i="5"/>
  <c r="Q6" i="8" s="1"/>
  <c r="W3" i="5"/>
  <c r="W4" i="5"/>
  <c r="AJ4" i="5"/>
  <c r="N4" i="8" s="1"/>
  <c r="AV4" i="5"/>
  <c r="Q4" i="8" s="1"/>
  <c r="AI5" i="5"/>
  <c r="W6" i="5"/>
  <c r="X7" i="5"/>
  <c r="K7" i="8" s="1"/>
  <c r="AU8" i="5"/>
  <c r="AV8" i="5"/>
  <c r="Q8" i="8" s="1"/>
  <c r="K9" i="5"/>
  <c r="L9" i="5"/>
  <c r="W9" i="5"/>
  <c r="X9" i="5"/>
  <c r="K9" i="8" s="1"/>
  <c r="K2" i="5"/>
  <c r="AU2" i="5"/>
  <c r="X4" i="5"/>
  <c r="K4" i="8" s="1"/>
  <c r="AI4" i="5"/>
  <c r="X6" i="5"/>
  <c r="K6" i="8" s="1"/>
  <c r="AU9" i="5"/>
  <c r="AV9" i="5"/>
  <c r="Q9" i="8" s="1"/>
  <c r="AU11" i="5"/>
  <c r="AV11" i="5"/>
  <c r="Q11" i="8" s="1"/>
  <c r="L2" i="5"/>
  <c r="K5" i="5"/>
  <c r="AJ7" i="5"/>
  <c r="N7" i="8" s="1"/>
  <c r="AV10" i="5"/>
  <c r="Q10" i="8" s="1"/>
  <c r="W11" i="5"/>
  <c r="AI11" i="5"/>
  <c r="K11" i="5"/>
  <c r="L11" i="5"/>
  <c r="L12" i="5"/>
  <c r="X12" i="5"/>
  <c r="K12" i="8" s="1"/>
  <c r="AJ12" i="5"/>
  <c r="N12" i="8" s="1"/>
  <c r="AU12" i="5"/>
  <c r="AU13" i="5"/>
  <c r="AV13" i="5"/>
  <c r="Q13" i="8" s="1"/>
  <c r="AI2" i="5"/>
  <c r="X3" i="5"/>
  <c r="K3" i="8" s="1"/>
  <c r="AI3" i="5"/>
  <c r="AV3" i="5"/>
  <c r="Q3" i="8" s="1"/>
  <c r="K4" i="5"/>
  <c r="W7" i="5"/>
  <c r="W8" i="5"/>
  <c r="X8" i="5"/>
  <c r="K8" i="8" s="1"/>
  <c r="K6" i="5"/>
  <c r="L7" i="5"/>
  <c r="AU7" i="5"/>
  <c r="K8" i="5"/>
  <c r="X11" i="5"/>
  <c r="K11" i="8" s="1"/>
  <c r="AU3" i="5"/>
  <c r="AU5" i="5"/>
  <c r="AJ6" i="5"/>
  <c r="N6" i="8" s="1"/>
  <c r="K7" i="5"/>
  <c r="H15" i="4"/>
  <c r="F15" i="4"/>
  <c r="H14" i="4"/>
  <c r="F14" i="4"/>
  <c r="F12" i="4"/>
  <c r="H12" i="4"/>
  <c r="H10" i="4"/>
  <c r="F11" i="4"/>
  <c r="AA13" i="5"/>
  <c r="K13" i="9" s="1"/>
  <c r="Y13" i="5"/>
  <c r="I13" i="9" s="1"/>
  <c r="Z13" i="5"/>
  <c r="J13" i="9" s="1"/>
  <c r="AK13" i="5"/>
  <c r="L13" i="9" s="1"/>
  <c r="AL13" i="5"/>
  <c r="M13" i="9" s="1"/>
  <c r="M13" i="5"/>
  <c r="O13" i="5"/>
  <c r="AM13" i="5"/>
  <c r="N13" i="9" s="1"/>
  <c r="N13" i="5"/>
  <c r="Y12" i="5"/>
  <c r="I12" i="9" s="1"/>
  <c r="AA12" i="5"/>
  <c r="K12" i="9" s="1"/>
  <c r="Z12" i="5"/>
  <c r="J12" i="9" s="1"/>
  <c r="AM12" i="5"/>
  <c r="N12" i="9" s="1"/>
  <c r="N12" i="5"/>
  <c r="M12" i="5"/>
  <c r="O12" i="5"/>
  <c r="AK12" i="5"/>
  <c r="L12" i="9" s="1"/>
  <c r="AL12" i="5"/>
  <c r="M12" i="9" s="1"/>
  <c r="AA11" i="5"/>
  <c r="K11" i="9" s="1"/>
  <c r="Z11" i="5"/>
  <c r="J11" i="9" s="1"/>
  <c r="Y11" i="5"/>
  <c r="I11" i="9" s="1"/>
  <c r="N11" i="5"/>
  <c r="M11" i="5"/>
  <c r="AK11" i="5"/>
  <c r="L11" i="9" s="1"/>
  <c r="AL11" i="5"/>
  <c r="M11" i="9" s="1"/>
  <c r="O11" i="5"/>
  <c r="Z10" i="5"/>
  <c r="J10" i="9" s="1"/>
  <c r="Y10" i="5"/>
  <c r="I10" i="9" s="1"/>
  <c r="AA10" i="5"/>
  <c r="K10" i="9" s="1"/>
  <c r="M10" i="5"/>
  <c r="N10" i="5"/>
  <c r="AM10" i="5"/>
  <c r="N10" i="9" s="1"/>
  <c r="AK10" i="5"/>
  <c r="L10" i="9" s="1"/>
  <c r="O10" i="5"/>
  <c r="AL10" i="5"/>
  <c r="M10" i="9" s="1"/>
  <c r="Y4" i="5"/>
  <c r="I4" i="9" s="1"/>
  <c r="AA2" i="5"/>
  <c r="D22" i="4"/>
  <c r="Z8" i="5"/>
  <c r="J8" i="9" s="1"/>
  <c r="AA6" i="5"/>
  <c r="K6" i="9" s="1"/>
  <c r="Z4" i="5"/>
  <c r="J4" i="9" s="1"/>
  <c r="AA3" i="5"/>
  <c r="K3" i="9" s="1"/>
  <c r="Y9" i="5"/>
  <c r="I9" i="9" s="1"/>
  <c r="AA7" i="5"/>
  <c r="K7" i="9" s="1"/>
  <c r="Z7" i="5"/>
  <c r="J7" i="9" s="1"/>
  <c r="Y5" i="5"/>
  <c r="I5" i="9" s="1"/>
  <c r="Z3" i="5"/>
  <c r="J3" i="9" s="1"/>
  <c r="AA9" i="5"/>
  <c r="K9" i="9" s="1"/>
  <c r="Z9" i="5"/>
  <c r="J9" i="9" s="1"/>
  <c r="AA5" i="5"/>
  <c r="K5" i="9" s="1"/>
  <c r="Y2" i="5"/>
  <c r="Z6" i="5"/>
  <c r="J6" i="9" s="1"/>
  <c r="Z5" i="5"/>
  <c r="J5" i="9" s="1"/>
  <c r="Y3" i="5"/>
  <c r="I3" i="9" s="1"/>
  <c r="Y6" i="5"/>
  <c r="I6" i="9" s="1"/>
  <c r="AA8" i="5"/>
  <c r="K8" i="9" s="1"/>
  <c r="Y7" i="5"/>
  <c r="I7" i="9" s="1"/>
  <c r="Y8" i="5"/>
  <c r="I8" i="9" s="1"/>
  <c r="Z2" i="5"/>
  <c r="AK3" i="5"/>
  <c r="L3" i="9" s="1"/>
  <c r="M5" i="5"/>
  <c r="AL9" i="5"/>
  <c r="M9" i="9" s="1"/>
  <c r="AL8" i="5"/>
  <c r="M8" i="9" s="1"/>
  <c r="AK8" i="5"/>
  <c r="L8" i="9" s="1"/>
  <c r="O6" i="5"/>
  <c r="AK6" i="5"/>
  <c r="L6" i="9" s="1"/>
  <c r="O4" i="5"/>
  <c r="M6" i="5"/>
  <c r="AK2" i="5"/>
  <c r="AL6" i="5"/>
  <c r="M6" i="9" s="1"/>
  <c r="AK5" i="5"/>
  <c r="L5" i="9" s="1"/>
  <c r="N4" i="5"/>
  <c r="AK7" i="5"/>
  <c r="L7" i="9" s="1"/>
  <c r="O9" i="5"/>
  <c r="N9" i="5"/>
  <c r="M9" i="5"/>
  <c r="AM8" i="5"/>
  <c r="N8" i="9" s="1"/>
  <c r="N7" i="5"/>
  <c r="N6" i="5"/>
  <c r="AM3" i="5"/>
  <c r="N3" i="9" s="1"/>
  <c r="M4" i="5"/>
  <c r="M3" i="5"/>
  <c r="AL2" i="5"/>
  <c r="AL4" i="5"/>
  <c r="M4" i="9" s="1"/>
  <c r="AM7" i="5"/>
  <c r="N7" i="9" s="1"/>
  <c r="N5" i="5"/>
  <c r="AL3" i="5"/>
  <c r="M3" i="9" s="1"/>
  <c r="AL7" i="5"/>
  <c r="M7" i="9" s="1"/>
  <c r="M8" i="5"/>
  <c r="N2" i="5"/>
  <c r="AM4" i="5"/>
  <c r="N4" i="9" s="1"/>
  <c r="O5" i="5"/>
  <c r="O7" i="5"/>
  <c r="AM9" i="5"/>
  <c r="N9" i="9" s="1"/>
  <c r="N3" i="5"/>
  <c r="AL5" i="5"/>
  <c r="M5" i="9" s="1"/>
  <c r="M2" i="5"/>
  <c r="M7" i="5"/>
  <c r="AK4" i="5"/>
  <c r="L4" i="9" s="1"/>
  <c r="AM2" i="5"/>
  <c r="O2" i="5"/>
  <c r="AK9" i="5"/>
  <c r="L9" i="9" s="1"/>
  <c r="N8" i="5"/>
  <c r="W10" i="5" l="1"/>
  <c r="X10" i="5"/>
  <c r="K10" i="8" s="1"/>
  <c r="W12" i="5"/>
  <c r="W13" i="5"/>
  <c r="X2" i="5"/>
  <c r="W5" i="5"/>
  <c r="AV12" i="5"/>
  <c r="Q12" i="8" s="1"/>
  <c r="AV5" i="5"/>
  <c r="Q5" i="8" s="1"/>
  <c r="AV7" i="5"/>
  <c r="Q7" i="8" s="1"/>
  <c r="AU10" i="5"/>
  <c r="K10" i="5"/>
  <c r="L10" i="5"/>
  <c r="K12" i="5"/>
  <c r="K13" i="5"/>
  <c r="L13" i="5"/>
  <c r="L8" i="5"/>
  <c r="AI10" i="5"/>
  <c r="AJ10" i="5"/>
  <c r="N10" i="8" s="1"/>
  <c r="AJ11" i="5"/>
  <c r="N11" i="8" s="1"/>
  <c r="AI12" i="5"/>
  <c r="AJ3" i="5"/>
  <c r="AJ5" i="5"/>
  <c r="N5" i="8" s="1"/>
  <c r="AJ8" i="5"/>
  <c r="N8" i="8" s="1"/>
  <c r="V2" i="5"/>
  <c r="W15" i="5"/>
  <c r="J2" i="8"/>
  <c r="Q2" i="8"/>
  <c r="AV15" i="5"/>
  <c r="D3" i="8"/>
  <c r="G3" i="8"/>
  <c r="J3" i="5"/>
  <c r="P4" i="8"/>
  <c r="AT4" i="5"/>
  <c r="O4" i="8" s="1"/>
  <c r="E5" i="8"/>
  <c r="H5" i="8"/>
  <c r="E6" i="8"/>
  <c r="H6" i="8"/>
  <c r="AH6" i="5"/>
  <c r="L6" i="8" s="1"/>
  <c r="M6" i="8"/>
  <c r="AH7" i="5"/>
  <c r="L7" i="8" s="1"/>
  <c r="M7" i="8"/>
  <c r="AH8" i="5"/>
  <c r="L8" i="8" s="1"/>
  <c r="M8" i="8"/>
  <c r="M9" i="8"/>
  <c r="AH9" i="5"/>
  <c r="L9" i="8" s="1"/>
  <c r="M13" i="8"/>
  <c r="AH13" i="5"/>
  <c r="L13" i="8" s="1"/>
  <c r="N2" i="8"/>
  <c r="E3" i="8"/>
  <c r="H3" i="8"/>
  <c r="E4" i="8"/>
  <c r="H4" i="8"/>
  <c r="P6" i="8"/>
  <c r="AT6" i="5"/>
  <c r="O6" i="8" s="1"/>
  <c r="J3" i="8"/>
  <c r="V3" i="5"/>
  <c r="I3" i="8" s="1"/>
  <c r="V4" i="5"/>
  <c r="I4" i="8" s="1"/>
  <c r="J4" i="8"/>
  <c r="M5" i="8"/>
  <c r="AH5" i="5"/>
  <c r="L5" i="8" s="1"/>
  <c r="J6" i="8"/>
  <c r="V6" i="5"/>
  <c r="I6" i="8" s="1"/>
  <c r="P8" i="8"/>
  <c r="AT8" i="5"/>
  <c r="O8" i="8" s="1"/>
  <c r="D9" i="8"/>
  <c r="G9" i="8"/>
  <c r="J9" i="5"/>
  <c r="E9" i="8"/>
  <c r="H9" i="8"/>
  <c r="J9" i="8"/>
  <c r="V9" i="5"/>
  <c r="I9" i="8" s="1"/>
  <c r="D2" i="8"/>
  <c r="G2" i="8"/>
  <c r="J2" i="5"/>
  <c r="P2" i="8"/>
  <c r="AT2" i="5"/>
  <c r="AH4" i="5"/>
  <c r="L4" i="8" s="1"/>
  <c r="M4" i="8"/>
  <c r="P9" i="8"/>
  <c r="AT9" i="5"/>
  <c r="O9" i="8" s="1"/>
  <c r="P11" i="8"/>
  <c r="AT11" i="5"/>
  <c r="O11" i="8" s="1"/>
  <c r="H2" i="8"/>
  <c r="E2" i="8"/>
  <c r="J5" i="5"/>
  <c r="D5" i="8"/>
  <c r="G5" i="8"/>
  <c r="V11" i="5"/>
  <c r="I11" i="8" s="1"/>
  <c r="J11" i="8"/>
  <c r="M11" i="8"/>
  <c r="AH11" i="5"/>
  <c r="L11" i="8" s="1"/>
  <c r="D11" i="8"/>
  <c r="G11" i="8"/>
  <c r="J11" i="5"/>
  <c r="E11" i="8"/>
  <c r="H11" i="8"/>
  <c r="E12" i="8"/>
  <c r="H12" i="8"/>
  <c r="P12" i="8"/>
  <c r="AT12" i="5"/>
  <c r="O12" i="8" s="1"/>
  <c r="P13" i="8"/>
  <c r="AT13" i="5"/>
  <c r="O13" i="8" s="1"/>
  <c r="M2" i="8"/>
  <c r="AH2" i="5"/>
  <c r="M3" i="8"/>
  <c r="AH3" i="5"/>
  <c r="L3" i="8" s="1"/>
  <c r="D4" i="8"/>
  <c r="G4" i="8"/>
  <c r="J4" i="5"/>
  <c r="J7" i="8"/>
  <c r="V7" i="5"/>
  <c r="I7" i="8" s="1"/>
  <c r="J8" i="8"/>
  <c r="V8" i="5"/>
  <c r="I8" i="8" s="1"/>
  <c r="D6" i="8"/>
  <c r="G6" i="8"/>
  <c r="J6" i="5"/>
  <c r="E7" i="8"/>
  <c r="H7" i="8"/>
  <c r="P7" i="8"/>
  <c r="AT7" i="5"/>
  <c r="O7" i="8" s="1"/>
  <c r="D8" i="8"/>
  <c r="G8" i="8"/>
  <c r="J8" i="5"/>
  <c r="AT3" i="5"/>
  <c r="O3" i="8" s="1"/>
  <c r="P3" i="8"/>
  <c r="AT5" i="5"/>
  <c r="O5" i="8" s="1"/>
  <c r="P5" i="8"/>
  <c r="J7" i="5"/>
  <c r="D7" i="8"/>
  <c r="G7" i="8"/>
  <c r="T6" i="5"/>
  <c r="Q10" i="5"/>
  <c r="R10" i="5"/>
  <c r="K10" i="6" s="1"/>
  <c r="T10" i="5"/>
  <c r="U10" i="5"/>
  <c r="K10" i="7" s="1"/>
  <c r="R2" i="5"/>
  <c r="T4" i="5"/>
  <c r="T11" i="5"/>
  <c r="R12" i="5"/>
  <c r="K12" i="6" s="1"/>
  <c r="U12" i="5"/>
  <c r="K12" i="7" s="1"/>
  <c r="Q13" i="5"/>
  <c r="R13" i="5"/>
  <c r="K13" i="6" s="1"/>
  <c r="T13" i="5"/>
  <c r="U13" i="5"/>
  <c r="K13" i="7" s="1"/>
  <c r="Q11" i="5"/>
  <c r="U11" i="5"/>
  <c r="K11" i="7" s="1"/>
  <c r="Q12" i="5"/>
  <c r="T3" i="5"/>
  <c r="R4" i="5"/>
  <c r="K4" i="6" s="1"/>
  <c r="Q7" i="5"/>
  <c r="U7" i="5"/>
  <c r="K7" i="7" s="1"/>
  <c r="T8" i="5"/>
  <c r="U8" i="5"/>
  <c r="K8" i="7" s="1"/>
  <c r="T2" i="5"/>
  <c r="R11" i="5"/>
  <c r="K11" i="6" s="1"/>
  <c r="K11" i="11" s="1"/>
  <c r="U2" i="5"/>
  <c r="T5" i="5"/>
  <c r="Q3" i="5"/>
  <c r="U3" i="5"/>
  <c r="K3" i="7" s="1"/>
  <c r="Q5" i="5"/>
  <c r="U5" i="5"/>
  <c r="K5" i="7" s="1"/>
  <c r="Q6" i="5"/>
  <c r="U6" i="5"/>
  <c r="K6" i="7" s="1"/>
  <c r="T12" i="5"/>
  <c r="U4" i="5"/>
  <c r="K4" i="7" s="1"/>
  <c r="R5" i="5"/>
  <c r="K5" i="6" s="1"/>
  <c r="K5" i="11" s="1"/>
  <c r="Q8" i="5"/>
  <c r="R8" i="5"/>
  <c r="K8" i="6" s="1"/>
  <c r="Q2" i="5"/>
  <c r="R3" i="5"/>
  <c r="K3" i="6" s="1"/>
  <c r="Q4" i="5"/>
  <c r="R6" i="5"/>
  <c r="K6" i="6" s="1"/>
  <c r="R7" i="5"/>
  <c r="K7" i="6" s="1"/>
  <c r="T7" i="5"/>
  <c r="Q9" i="5"/>
  <c r="R9" i="5"/>
  <c r="K9" i="6" s="1"/>
  <c r="T9" i="5"/>
  <c r="U9" i="5"/>
  <c r="K9" i="7" s="1"/>
  <c r="AO2" i="5"/>
  <c r="AR3" i="5"/>
  <c r="AR7" i="5"/>
  <c r="AP12" i="5"/>
  <c r="Q12" i="6" s="1"/>
  <c r="AO13" i="5"/>
  <c r="AP13" i="5"/>
  <c r="Q13" i="6" s="1"/>
  <c r="AR13" i="5"/>
  <c r="AS13" i="5"/>
  <c r="Q13" i="7" s="1"/>
  <c r="AO3" i="5"/>
  <c r="AS5" i="5"/>
  <c r="Q5" i="7" s="1"/>
  <c r="AR5" i="5"/>
  <c r="AP5" i="5"/>
  <c r="Q5" i="6" s="1"/>
  <c r="AR2" i="5"/>
  <c r="AP3" i="5"/>
  <c r="Q3" i="6" s="1"/>
  <c r="AO9" i="5"/>
  <c r="AS9" i="5"/>
  <c r="Q9" i="7" s="1"/>
  <c r="AO12" i="5"/>
  <c r="AR12" i="5"/>
  <c r="AP2" i="5"/>
  <c r="AS3" i="5"/>
  <c r="Q3" i="7" s="1"/>
  <c r="AO5" i="5"/>
  <c r="AO6" i="5"/>
  <c r="AP6" i="5"/>
  <c r="Q6" i="6" s="1"/>
  <c r="AR6" i="5"/>
  <c r="AS6" i="5"/>
  <c r="Q6" i="7" s="1"/>
  <c r="AS2" i="5"/>
  <c r="AO4" i="5"/>
  <c r="AP7" i="5"/>
  <c r="Q7" i="6" s="1"/>
  <c r="AO8" i="5"/>
  <c r="AP8" i="5"/>
  <c r="Q8" i="6" s="1"/>
  <c r="AR8" i="5"/>
  <c r="AS8" i="5"/>
  <c r="Q8" i="7" s="1"/>
  <c r="AP4" i="5"/>
  <c r="Q4" i="6" s="1"/>
  <c r="AS4" i="5"/>
  <c r="Q4" i="7" s="1"/>
  <c r="AO7" i="5"/>
  <c r="AP9" i="5"/>
  <c r="Q9" i="6" s="1"/>
  <c r="AO10" i="5"/>
  <c r="AP10" i="5"/>
  <c r="Q10" i="6" s="1"/>
  <c r="AR10" i="5"/>
  <c r="AS10" i="5"/>
  <c r="Q10" i="7" s="1"/>
  <c r="AO11" i="5"/>
  <c r="AP11" i="5"/>
  <c r="Q11" i="6" s="1"/>
  <c r="AR11" i="5"/>
  <c r="AS11" i="5"/>
  <c r="Q11" i="7" s="1"/>
  <c r="AR4" i="5"/>
  <c r="AS7" i="5"/>
  <c r="Q7" i="7" s="1"/>
  <c r="AR9" i="5"/>
  <c r="AS12" i="5"/>
  <c r="Q12" i="7" s="1"/>
  <c r="E2" i="5"/>
  <c r="H3" i="5"/>
  <c r="F5" i="5"/>
  <c r="I7" i="5"/>
  <c r="H8" i="5"/>
  <c r="F13" i="5"/>
  <c r="H13" i="5"/>
  <c r="I13" i="5"/>
  <c r="I2" i="5"/>
  <c r="E6" i="5"/>
  <c r="F8" i="5"/>
  <c r="I8" i="5"/>
  <c r="F11" i="5"/>
  <c r="H11" i="5"/>
  <c r="I11" i="5"/>
  <c r="H5" i="5"/>
  <c r="H2" i="5"/>
  <c r="I6" i="5"/>
  <c r="F2" i="5"/>
  <c r="F4" i="5"/>
  <c r="I4" i="5"/>
  <c r="H7" i="5"/>
  <c r="I3" i="5"/>
  <c r="E3" i="5"/>
  <c r="E4" i="5"/>
  <c r="E5" i="5"/>
  <c r="I5" i="5"/>
  <c r="F6" i="5"/>
  <c r="H6" i="5"/>
  <c r="E11" i="5"/>
  <c r="E13" i="5"/>
  <c r="F3" i="5"/>
  <c r="H4" i="5"/>
  <c r="E8" i="5"/>
  <c r="E7" i="5"/>
  <c r="F7" i="5"/>
  <c r="E9" i="5"/>
  <c r="F9" i="5"/>
  <c r="H9" i="5"/>
  <c r="I9" i="5"/>
  <c r="E10" i="5"/>
  <c r="F10" i="5"/>
  <c r="H10" i="5"/>
  <c r="I10" i="5"/>
  <c r="E12" i="5"/>
  <c r="F12" i="5"/>
  <c r="H12" i="5"/>
  <c r="I12" i="5"/>
  <c r="AD5" i="5"/>
  <c r="N5" i="6" s="1"/>
  <c r="AD6" i="5"/>
  <c r="N6" i="6" s="1"/>
  <c r="N6" i="11" s="1"/>
  <c r="AD7" i="5"/>
  <c r="N7" i="6" s="1"/>
  <c r="AC8" i="5"/>
  <c r="AG8" i="5"/>
  <c r="N8" i="7" s="1"/>
  <c r="AG9" i="5"/>
  <c r="N9" i="7" s="1"/>
  <c r="AD13" i="5"/>
  <c r="N13" i="6" s="1"/>
  <c r="AF13" i="5"/>
  <c r="AG13" i="5"/>
  <c r="N13" i="7" s="1"/>
  <c r="AD2" i="5"/>
  <c r="AF5" i="5"/>
  <c r="AG3" i="5"/>
  <c r="N3" i="7" s="1"/>
  <c r="AG7" i="5"/>
  <c r="N7" i="7" s="1"/>
  <c r="AC9" i="5"/>
  <c r="AD9" i="5"/>
  <c r="N9" i="6" s="1"/>
  <c r="AF9" i="5"/>
  <c r="AF3" i="5"/>
  <c r="AG5" i="5"/>
  <c r="N5" i="7" s="1"/>
  <c r="AF6" i="5"/>
  <c r="AC10" i="5"/>
  <c r="AD10" i="5"/>
  <c r="N10" i="6" s="1"/>
  <c r="AF10" i="5"/>
  <c r="AG10" i="5"/>
  <c r="N10" i="7" s="1"/>
  <c r="AC4" i="5"/>
  <c r="AF4" i="5"/>
  <c r="AF7" i="5"/>
  <c r="AC11" i="5"/>
  <c r="AF11" i="5"/>
  <c r="AG11" i="5"/>
  <c r="N11" i="7" s="1"/>
  <c r="AC12" i="5"/>
  <c r="AG12" i="5"/>
  <c r="N12" i="7" s="1"/>
  <c r="AG4" i="5"/>
  <c r="N4" i="7" s="1"/>
  <c r="AD8" i="5"/>
  <c r="N8" i="6" s="1"/>
  <c r="AF8" i="5"/>
  <c r="AD11" i="5"/>
  <c r="N11" i="6" s="1"/>
  <c r="AD12" i="5"/>
  <c r="N12" i="6" s="1"/>
  <c r="AF12" i="5"/>
  <c r="AC13" i="5"/>
  <c r="AD3" i="5"/>
  <c r="N3" i="6" s="1"/>
  <c r="N3" i="11" s="1"/>
  <c r="AD4" i="5"/>
  <c r="N4" i="6" s="1"/>
  <c r="AC7" i="5"/>
  <c r="AG2" i="5"/>
  <c r="AC5" i="5"/>
  <c r="AF2" i="5"/>
  <c r="AC3" i="5"/>
  <c r="AC6" i="5"/>
  <c r="AG6" i="5"/>
  <c r="N6" i="7" s="1"/>
  <c r="AC2" i="5"/>
  <c r="C13" i="9"/>
  <c r="F13" i="9"/>
  <c r="E13" i="9"/>
  <c r="H13" i="9"/>
  <c r="D13" i="9"/>
  <c r="G13" i="9"/>
  <c r="D12" i="9"/>
  <c r="G12" i="9"/>
  <c r="C12" i="9"/>
  <c r="F12" i="9"/>
  <c r="E12" i="9"/>
  <c r="H12" i="9"/>
  <c r="D11" i="9"/>
  <c r="G11" i="9"/>
  <c r="C11" i="9"/>
  <c r="F11" i="9"/>
  <c r="E11" i="9"/>
  <c r="H11" i="9"/>
  <c r="C10" i="9"/>
  <c r="F10" i="9"/>
  <c r="G10" i="9"/>
  <c r="D10" i="9"/>
  <c r="H10" i="9"/>
  <c r="E10" i="9"/>
  <c r="K2" i="9"/>
  <c r="AA15" i="5"/>
  <c r="AW4" i="5"/>
  <c r="O4" i="9" s="1"/>
  <c r="AX5" i="5"/>
  <c r="P5" i="9" s="1"/>
  <c r="AW3" i="5"/>
  <c r="O3" i="9" s="1"/>
  <c r="AW5" i="5"/>
  <c r="O5" i="9" s="1"/>
  <c r="AX7" i="5"/>
  <c r="P7" i="9" s="1"/>
  <c r="AX2" i="5"/>
  <c r="AY4" i="5"/>
  <c r="Q4" i="9" s="1"/>
  <c r="AY5" i="5"/>
  <c r="Q5" i="9" s="1"/>
  <c r="AW10" i="5"/>
  <c r="O10" i="9" s="1"/>
  <c r="AW12" i="5"/>
  <c r="O12" i="9" s="1"/>
  <c r="AY12" i="5"/>
  <c r="Q12" i="9" s="1"/>
  <c r="AW2" i="5"/>
  <c r="AX3" i="5"/>
  <c r="P3" i="9" s="1"/>
  <c r="AW6" i="5"/>
  <c r="O6" i="9" s="1"/>
  <c r="AX6" i="5"/>
  <c r="P6" i="9" s="1"/>
  <c r="AY6" i="5"/>
  <c r="Q6" i="9" s="1"/>
  <c r="AW8" i="5"/>
  <c r="O8" i="9" s="1"/>
  <c r="AX8" i="5"/>
  <c r="P8" i="9" s="1"/>
  <c r="AY8" i="5"/>
  <c r="Q8" i="9" s="1"/>
  <c r="AY2" i="5"/>
  <c r="AW9" i="5"/>
  <c r="O9" i="9" s="1"/>
  <c r="AX9" i="5"/>
  <c r="P9" i="9" s="1"/>
  <c r="AY9" i="5"/>
  <c r="Q9" i="9" s="1"/>
  <c r="AW11" i="5"/>
  <c r="O11" i="9" s="1"/>
  <c r="AX11" i="5"/>
  <c r="P11" i="9" s="1"/>
  <c r="AY11" i="5"/>
  <c r="Q11" i="9" s="1"/>
  <c r="AX4" i="5"/>
  <c r="P4" i="9" s="1"/>
  <c r="AW7" i="5"/>
  <c r="O7" i="9" s="1"/>
  <c r="AX10" i="5"/>
  <c r="P10" i="9" s="1"/>
  <c r="AX12" i="5"/>
  <c r="P12" i="9" s="1"/>
  <c r="AY3" i="5"/>
  <c r="Q3" i="9" s="1"/>
  <c r="AY7" i="5"/>
  <c r="Q7" i="9" s="1"/>
  <c r="AY10" i="5"/>
  <c r="Q10" i="9" s="1"/>
  <c r="AW13" i="5"/>
  <c r="O13" i="9" s="1"/>
  <c r="AX13" i="5"/>
  <c r="P13" i="9" s="1"/>
  <c r="AY13" i="5"/>
  <c r="Q13" i="9" s="1"/>
  <c r="Y15" i="5"/>
  <c r="I2" i="9"/>
  <c r="Z15" i="5"/>
  <c r="J2" i="9"/>
  <c r="C5" i="9"/>
  <c r="F5" i="9"/>
  <c r="E6" i="9"/>
  <c r="H6" i="9"/>
  <c r="E4" i="9"/>
  <c r="H4" i="9"/>
  <c r="C6" i="9"/>
  <c r="F6" i="9"/>
  <c r="L2" i="9"/>
  <c r="AK15" i="5"/>
  <c r="D4" i="9"/>
  <c r="G4" i="9"/>
  <c r="E9" i="9"/>
  <c r="H9" i="9"/>
  <c r="D9" i="9"/>
  <c r="G9" i="9"/>
  <c r="C9" i="9"/>
  <c r="F9" i="9"/>
  <c r="D7" i="9"/>
  <c r="G7" i="9"/>
  <c r="D6" i="9"/>
  <c r="G6" i="9"/>
  <c r="C4" i="9"/>
  <c r="F4" i="9"/>
  <c r="C3" i="9"/>
  <c r="F3" i="9"/>
  <c r="AL15" i="5"/>
  <c r="M2" i="9"/>
  <c r="D5" i="9"/>
  <c r="G5" i="9"/>
  <c r="C8" i="9"/>
  <c r="F8" i="9"/>
  <c r="N15" i="5"/>
  <c r="D2" i="9"/>
  <c r="G2" i="9"/>
  <c r="E5" i="9"/>
  <c r="H5" i="9"/>
  <c r="E7" i="9"/>
  <c r="H7" i="9"/>
  <c r="D3" i="9"/>
  <c r="G3" i="9"/>
  <c r="M15" i="5"/>
  <c r="F2" i="9"/>
  <c r="C2" i="9"/>
  <c r="C7" i="9"/>
  <c r="F7" i="9"/>
  <c r="N2" i="9"/>
  <c r="AM15" i="5"/>
  <c r="O15" i="5"/>
  <c r="E2" i="9"/>
  <c r="H2" i="9"/>
  <c r="D8" i="9"/>
  <c r="G8" i="9"/>
  <c r="Q7" i="11" l="1"/>
  <c r="Q12" i="11"/>
  <c r="Q5" i="11"/>
  <c r="N7" i="11"/>
  <c r="N10" i="11"/>
  <c r="N8" i="11"/>
  <c r="J10" i="8"/>
  <c r="V10" i="5"/>
  <c r="I10" i="8" s="1"/>
  <c r="J12" i="8"/>
  <c r="V12" i="5"/>
  <c r="I12" i="8" s="1"/>
  <c r="V13" i="5"/>
  <c r="I13" i="8" s="1"/>
  <c r="J13" i="8"/>
  <c r="X15" i="5"/>
  <c r="K2" i="8"/>
  <c r="J5" i="8"/>
  <c r="V5" i="5"/>
  <c r="AU15" i="5"/>
  <c r="P10" i="8"/>
  <c r="AT10" i="5"/>
  <c r="K15" i="5"/>
  <c r="D10" i="8"/>
  <c r="G10" i="8"/>
  <c r="J10" i="5"/>
  <c r="E10" i="8"/>
  <c r="H10" i="8"/>
  <c r="D12" i="8"/>
  <c r="G12" i="8"/>
  <c r="J12" i="5"/>
  <c r="G13" i="8"/>
  <c r="D13" i="8"/>
  <c r="J13" i="5"/>
  <c r="E13" i="8"/>
  <c r="H13" i="8"/>
  <c r="E8" i="8"/>
  <c r="L15" i="5"/>
  <c r="H8" i="8"/>
  <c r="AI15" i="5"/>
  <c r="M10" i="8"/>
  <c r="AH10" i="5"/>
  <c r="L10" i="8" s="1"/>
  <c r="M12" i="8"/>
  <c r="AH12" i="5"/>
  <c r="L12" i="8" s="1"/>
  <c r="N3" i="8"/>
  <c r="AJ15" i="5"/>
  <c r="I2" i="8"/>
  <c r="C3" i="8"/>
  <c r="F3" i="8"/>
  <c r="C9" i="8"/>
  <c r="F9" i="8"/>
  <c r="F2" i="8"/>
  <c r="C2" i="8"/>
  <c r="O2" i="8"/>
  <c r="C5" i="8"/>
  <c r="F5" i="8"/>
  <c r="C12" i="8"/>
  <c r="F12" i="8"/>
  <c r="C13" i="8"/>
  <c r="F13" i="8"/>
  <c r="C11" i="8"/>
  <c r="F11" i="8"/>
  <c r="AH15" i="5"/>
  <c r="L2" i="8"/>
  <c r="C4" i="8"/>
  <c r="F4" i="8"/>
  <c r="C6" i="8"/>
  <c r="F6" i="8"/>
  <c r="C8" i="8"/>
  <c r="F8" i="8"/>
  <c r="C7" i="8"/>
  <c r="F7" i="8"/>
  <c r="J6" i="7"/>
  <c r="S6" i="5"/>
  <c r="I6" i="7" s="1"/>
  <c r="J10" i="6"/>
  <c r="P10" i="5"/>
  <c r="I10" i="6" s="1"/>
  <c r="J10" i="7"/>
  <c r="S10" i="5"/>
  <c r="I10" i="7" s="1"/>
  <c r="K2" i="6"/>
  <c r="R15" i="5"/>
  <c r="J4" i="7"/>
  <c r="S4" i="5"/>
  <c r="I4" i="7" s="1"/>
  <c r="J11" i="7"/>
  <c r="S11" i="5"/>
  <c r="I11" i="7" s="1"/>
  <c r="J13" i="6"/>
  <c r="P13" i="5"/>
  <c r="I13" i="6" s="1"/>
  <c r="J13" i="7"/>
  <c r="S13" i="5"/>
  <c r="I13" i="7" s="1"/>
  <c r="J11" i="6"/>
  <c r="P11" i="5"/>
  <c r="I11" i="6" s="1"/>
  <c r="I11" i="11" s="1"/>
  <c r="J12" i="6"/>
  <c r="P12" i="5"/>
  <c r="I12" i="6" s="1"/>
  <c r="J3" i="7"/>
  <c r="S3" i="5"/>
  <c r="I3" i="7" s="1"/>
  <c r="P7" i="5"/>
  <c r="I7" i="6" s="1"/>
  <c r="J7" i="6"/>
  <c r="J8" i="7"/>
  <c r="S8" i="5"/>
  <c r="I8" i="7" s="1"/>
  <c r="S2" i="5"/>
  <c r="T15" i="5"/>
  <c r="J2" i="7"/>
  <c r="U15" i="5"/>
  <c r="K2" i="7"/>
  <c r="S5" i="5"/>
  <c r="I5" i="7" s="1"/>
  <c r="J5" i="7"/>
  <c r="J3" i="6"/>
  <c r="J3" i="11" s="1"/>
  <c r="P3" i="5"/>
  <c r="I3" i="6" s="1"/>
  <c r="I3" i="11" s="1"/>
  <c r="J5" i="6"/>
  <c r="P5" i="5"/>
  <c r="I5" i="6" s="1"/>
  <c r="P6" i="5"/>
  <c r="I6" i="6" s="1"/>
  <c r="I6" i="11" s="1"/>
  <c r="J6" i="6"/>
  <c r="J6" i="11" s="1"/>
  <c r="S12" i="5"/>
  <c r="I12" i="7" s="1"/>
  <c r="J12" i="7"/>
  <c r="J8" i="6"/>
  <c r="J8" i="11" s="1"/>
  <c r="P8" i="5"/>
  <c r="I8" i="6" s="1"/>
  <c r="I8" i="11" s="1"/>
  <c r="P2" i="5"/>
  <c r="J2" i="6"/>
  <c r="J2" i="11" s="1"/>
  <c r="Q15" i="5"/>
  <c r="J4" i="6"/>
  <c r="J4" i="11" s="1"/>
  <c r="P4" i="5"/>
  <c r="I4" i="6" s="1"/>
  <c r="I4" i="11" s="1"/>
  <c r="S7" i="5"/>
  <c r="I7" i="7" s="1"/>
  <c r="J7" i="7"/>
  <c r="J9" i="6"/>
  <c r="P9" i="5"/>
  <c r="I9" i="6" s="1"/>
  <c r="J9" i="7"/>
  <c r="S9" i="5"/>
  <c r="I9" i="7" s="1"/>
  <c r="AO15" i="5"/>
  <c r="AN2" i="5"/>
  <c r="P2" i="6"/>
  <c r="P2" i="11" s="1"/>
  <c r="P3" i="7"/>
  <c r="AQ3" i="5"/>
  <c r="O3" i="7" s="1"/>
  <c r="P7" i="7"/>
  <c r="AQ7" i="5"/>
  <c r="O7" i="7" s="1"/>
  <c r="P13" i="6"/>
  <c r="AN13" i="5"/>
  <c r="O13" i="6" s="1"/>
  <c r="O13" i="11" s="1"/>
  <c r="P13" i="7"/>
  <c r="AQ13" i="5"/>
  <c r="O13" i="7" s="1"/>
  <c r="AN3" i="5"/>
  <c r="O3" i="6" s="1"/>
  <c r="P3" i="6"/>
  <c r="P5" i="7"/>
  <c r="AQ5" i="5"/>
  <c r="O5" i="7" s="1"/>
  <c r="AQ2" i="5"/>
  <c r="P2" i="7"/>
  <c r="AR15" i="5"/>
  <c r="AN9" i="5"/>
  <c r="O9" i="6" s="1"/>
  <c r="P9" i="6"/>
  <c r="AN12" i="5"/>
  <c r="O12" i="6" s="1"/>
  <c r="P12" i="6"/>
  <c r="AQ12" i="5"/>
  <c r="O12" i="7" s="1"/>
  <c r="P12" i="7"/>
  <c r="Q2" i="6"/>
  <c r="AP15" i="5"/>
  <c r="P5" i="6"/>
  <c r="P5" i="11" s="1"/>
  <c r="AN5" i="5"/>
  <c r="O5" i="6" s="1"/>
  <c r="O5" i="11" s="1"/>
  <c r="P6" i="6"/>
  <c r="AN6" i="5"/>
  <c r="O6" i="6" s="1"/>
  <c r="P6" i="7"/>
  <c r="AQ6" i="5"/>
  <c r="O6" i="7" s="1"/>
  <c r="Q2" i="7"/>
  <c r="AS15" i="5"/>
  <c r="P4" i="6"/>
  <c r="AN4" i="5"/>
  <c r="O4" i="6" s="1"/>
  <c r="P8" i="6"/>
  <c r="AN8" i="5"/>
  <c r="O8" i="6" s="1"/>
  <c r="P8" i="7"/>
  <c r="AQ8" i="5"/>
  <c r="O8" i="7" s="1"/>
  <c r="P7" i="6"/>
  <c r="AN7" i="5"/>
  <c r="O7" i="6" s="1"/>
  <c r="P10" i="6"/>
  <c r="AN10" i="5"/>
  <c r="O10" i="6" s="1"/>
  <c r="P10" i="7"/>
  <c r="AQ10" i="5"/>
  <c r="O10" i="7" s="1"/>
  <c r="P11" i="6"/>
  <c r="AN11" i="5"/>
  <c r="O11" i="6" s="1"/>
  <c r="P11" i="7"/>
  <c r="AQ11" i="5"/>
  <c r="O11" i="7" s="1"/>
  <c r="P4" i="7"/>
  <c r="AQ4" i="5"/>
  <c r="O4" i="7" s="1"/>
  <c r="AQ9" i="5"/>
  <c r="O9" i="7" s="1"/>
  <c r="P9" i="7"/>
  <c r="D2" i="6"/>
  <c r="G2" i="6"/>
  <c r="E15" i="5"/>
  <c r="D2" i="5"/>
  <c r="D3" i="7"/>
  <c r="G3" i="7"/>
  <c r="G3" i="5"/>
  <c r="E5" i="6"/>
  <c r="H5" i="6"/>
  <c r="E7" i="7"/>
  <c r="H7" i="7"/>
  <c r="D8" i="7"/>
  <c r="G8" i="7"/>
  <c r="G8" i="5"/>
  <c r="E13" i="6"/>
  <c r="H13" i="6"/>
  <c r="D13" i="7"/>
  <c r="G13" i="7"/>
  <c r="G13" i="5"/>
  <c r="E13" i="7"/>
  <c r="H13" i="7"/>
  <c r="I15" i="5"/>
  <c r="E2" i="7"/>
  <c r="H2" i="7"/>
  <c r="D6" i="6"/>
  <c r="G6" i="6"/>
  <c r="D6" i="5"/>
  <c r="E8" i="6"/>
  <c r="H8" i="6"/>
  <c r="E8" i="7"/>
  <c r="H8" i="7"/>
  <c r="E11" i="6"/>
  <c r="H11" i="6"/>
  <c r="D11" i="7"/>
  <c r="G11" i="7"/>
  <c r="G11" i="5"/>
  <c r="E11" i="7"/>
  <c r="H11" i="7"/>
  <c r="D5" i="7"/>
  <c r="G5" i="7"/>
  <c r="G5" i="5"/>
  <c r="H15" i="5"/>
  <c r="G2" i="5"/>
  <c r="D2" i="7"/>
  <c r="G2" i="7"/>
  <c r="E6" i="7"/>
  <c r="H6" i="7"/>
  <c r="E2" i="6"/>
  <c r="E2" i="11" s="1"/>
  <c r="H2" i="6"/>
  <c r="H2" i="11" s="1"/>
  <c r="F15" i="5"/>
  <c r="E4" i="6"/>
  <c r="H4" i="6"/>
  <c r="H4" i="11" s="1"/>
  <c r="E4" i="7"/>
  <c r="H4" i="7"/>
  <c r="G7" i="5"/>
  <c r="D7" i="7"/>
  <c r="G7" i="7"/>
  <c r="E3" i="7"/>
  <c r="H3" i="7"/>
  <c r="D3" i="6"/>
  <c r="D3" i="11" s="1"/>
  <c r="G3" i="6"/>
  <c r="G3" i="11" s="1"/>
  <c r="D3" i="5"/>
  <c r="D4" i="6"/>
  <c r="D4" i="11" s="1"/>
  <c r="G4" i="6"/>
  <c r="G4" i="11" s="1"/>
  <c r="D4" i="5"/>
  <c r="D5" i="6"/>
  <c r="G5" i="6"/>
  <c r="D5" i="5"/>
  <c r="E5" i="7"/>
  <c r="H5" i="7"/>
  <c r="E6" i="6"/>
  <c r="H6" i="6"/>
  <c r="D6" i="7"/>
  <c r="G6" i="5"/>
  <c r="G6" i="7"/>
  <c r="D11" i="5"/>
  <c r="D11" i="6"/>
  <c r="G11" i="6"/>
  <c r="D13" i="5"/>
  <c r="D13" i="6"/>
  <c r="G13" i="6"/>
  <c r="E3" i="6"/>
  <c r="H3" i="6"/>
  <c r="G4" i="5"/>
  <c r="D4" i="7"/>
  <c r="G4" i="7"/>
  <c r="D8" i="5"/>
  <c r="D8" i="6"/>
  <c r="G8" i="6"/>
  <c r="D7" i="6"/>
  <c r="G7" i="6"/>
  <c r="D7" i="5"/>
  <c r="E7" i="6"/>
  <c r="H7" i="6"/>
  <c r="D9" i="6"/>
  <c r="G9" i="6"/>
  <c r="D9" i="5"/>
  <c r="H9" i="6"/>
  <c r="E9" i="6"/>
  <c r="D9" i="7"/>
  <c r="G9" i="7"/>
  <c r="G9" i="5"/>
  <c r="E9" i="7"/>
  <c r="H9" i="7"/>
  <c r="D10" i="6"/>
  <c r="G10" i="6"/>
  <c r="D10" i="5"/>
  <c r="E10" i="6"/>
  <c r="H10" i="6"/>
  <c r="D10" i="7"/>
  <c r="G10" i="7"/>
  <c r="G10" i="5"/>
  <c r="E10" i="7"/>
  <c r="H10" i="7"/>
  <c r="D12" i="6"/>
  <c r="G12" i="6"/>
  <c r="D12" i="5"/>
  <c r="E12" i="6"/>
  <c r="H12" i="6"/>
  <c r="D12" i="7"/>
  <c r="G12" i="7"/>
  <c r="G12" i="5"/>
  <c r="E12" i="7"/>
  <c r="H12" i="7"/>
  <c r="AB8" i="5"/>
  <c r="L8" i="6" s="1"/>
  <c r="L8" i="11" s="1"/>
  <c r="M8" i="6"/>
  <c r="M8" i="11" s="1"/>
  <c r="AE13" i="5"/>
  <c r="L13" i="7" s="1"/>
  <c r="M13" i="7"/>
  <c r="N2" i="6"/>
  <c r="N2" i="11" s="1"/>
  <c r="AD15" i="5"/>
  <c r="AE5" i="5"/>
  <c r="L5" i="7" s="1"/>
  <c r="M5" i="7"/>
  <c r="M9" i="6"/>
  <c r="AB9" i="5"/>
  <c r="L9" i="6" s="1"/>
  <c r="M9" i="7"/>
  <c r="AE9" i="5"/>
  <c r="L9" i="7" s="1"/>
  <c r="M3" i="7"/>
  <c r="AE3" i="5"/>
  <c r="L3" i="7" s="1"/>
  <c r="M6" i="7"/>
  <c r="AE6" i="5"/>
  <c r="L6" i="7" s="1"/>
  <c r="M10" i="6"/>
  <c r="AB10" i="5"/>
  <c r="L10" i="6" s="1"/>
  <c r="M10" i="7"/>
  <c r="AE10" i="5"/>
  <c r="L10" i="7" s="1"/>
  <c r="M4" i="6"/>
  <c r="AB4" i="5"/>
  <c r="L4" i="6" s="1"/>
  <c r="M4" i="7"/>
  <c r="AE4" i="5"/>
  <c r="L4" i="7" s="1"/>
  <c r="M7" i="7"/>
  <c r="AE7" i="5"/>
  <c r="L7" i="7" s="1"/>
  <c r="M11" i="6"/>
  <c r="AB11" i="5"/>
  <c r="L11" i="6" s="1"/>
  <c r="M11" i="7"/>
  <c r="AE11" i="5"/>
  <c r="L11" i="7" s="1"/>
  <c r="M12" i="6"/>
  <c r="AB12" i="5"/>
  <c r="L12" i="6" s="1"/>
  <c r="M8" i="7"/>
  <c r="AE8" i="5"/>
  <c r="L8" i="7" s="1"/>
  <c r="M12" i="7"/>
  <c r="AE12" i="5"/>
  <c r="L12" i="7" s="1"/>
  <c r="M13" i="6"/>
  <c r="AB13" i="5"/>
  <c r="L13" i="6" s="1"/>
  <c r="AB7" i="5"/>
  <c r="L7" i="6" s="1"/>
  <c r="L7" i="11" s="1"/>
  <c r="M7" i="6"/>
  <c r="M7" i="11" s="1"/>
  <c r="AG15" i="5"/>
  <c r="N2" i="7"/>
  <c r="AB5" i="5"/>
  <c r="L5" i="6" s="1"/>
  <c r="M5" i="6"/>
  <c r="AE2" i="5"/>
  <c r="AF15" i="5"/>
  <c r="M2" i="7"/>
  <c r="AB3" i="5"/>
  <c r="L3" i="6" s="1"/>
  <c r="L3" i="11" s="1"/>
  <c r="M3" i="6"/>
  <c r="M3" i="11" s="1"/>
  <c r="AB6" i="5"/>
  <c r="L6" i="6" s="1"/>
  <c r="L6" i="11" s="1"/>
  <c r="M6" i="6"/>
  <c r="M6" i="11" s="1"/>
  <c r="AB2" i="5"/>
  <c r="M2" i="6"/>
  <c r="AC15" i="5"/>
  <c r="AX15" i="5"/>
  <c r="P2" i="9"/>
  <c r="AW15" i="5"/>
  <c r="O2" i="9"/>
  <c r="AY15" i="5"/>
  <c r="Q2" i="9"/>
  <c r="Q3" i="11"/>
  <c r="K12" i="11"/>
  <c r="Q8" i="11"/>
  <c r="K10" i="11"/>
  <c r="K4" i="11"/>
  <c r="K13" i="11"/>
  <c r="K8" i="11"/>
  <c r="K3" i="11"/>
  <c r="K6" i="11"/>
  <c r="K7" i="11"/>
  <c r="K9" i="11"/>
  <c r="Q13" i="11"/>
  <c r="Q6" i="11"/>
  <c r="Q4" i="11"/>
  <c r="Q9" i="11"/>
  <c r="Q10" i="11"/>
  <c r="Q11" i="11"/>
  <c r="N5" i="11"/>
  <c r="N13" i="11"/>
  <c r="N9" i="11"/>
  <c r="N11" i="11"/>
  <c r="N12" i="11"/>
  <c r="N4" i="11"/>
  <c r="J5" i="11" l="1"/>
  <c r="O12" i="11"/>
  <c r="E5" i="11"/>
  <c r="H5" i="11"/>
  <c r="D6" i="11"/>
  <c r="G6" i="11"/>
  <c r="E4" i="11"/>
  <c r="D9" i="11"/>
  <c r="G9" i="11"/>
  <c r="M5" i="11"/>
  <c r="I5" i="8"/>
  <c r="I5" i="11" s="1"/>
  <c r="V15" i="5"/>
  <c r="O10" i="8"/>
  <c r="AT15" i="5"/>
  <c r="J15" i="5"/>
  <c r="C10" i="8"/>
  <c r="F10" i="8"/>
  <c r="S15" i="5"/>
  <c r="I2" i="7"/>
  <c r="I2" i="6"/>
  <c r="P15" i="5"/>
  <c r="O2" i="6"/>
  <c r="AN15" i="5"/>
  <c r="O2" i="7"/>
  <c r="AQ15" i="5"/>
  <c r="C2" i="6"/>
  <c r="F2" i="6"/>
  <c r="D15" i="5"/>
  <c r="C3" i="7"/>
  <c r="F3" i="7"/>
  <c r="C8" i="7"/>
  <c r="F8" i="7"/>
  <c r="C13" i="7"/>
  <c r="F13" i="7"/>
  <c r="C6" i="6"/>
  <c r="F6" i="6"/>
  <c r="C11" i="7"/>
  <c r="F11" i="7"/>
  <c r="C5" i="7"/>
  <c r="F5" i="7"/>
  <c r="C2" i="7"/>
  <c r="F2" i="7"/>
  <c r="G15" i="5"/>
  <c r="C7" i="7"/>
  <c r="F7" i="7"/>
  <c r="C3" i="6"/>
  <c r="C3" i="11" s="1"/>
  <c r="F3" i="6"/>
  <c r="F3" i="11" s="1"/>
  <c r="C4" i="6"/>
  <c r="F4" i="6"/>
  <c r="C5" i="6"/>
  <c r="C5" i="11" s="1"/>
  <c r="F5" i="6"/>
  <c r="F5" i="11" s="1"/>
  <c r="F6" i="7"/>
  <c r="C6" i="7"/>
  <c r="C11" i="6"/>
  <c r="C11" i="11" s="1"/>
  <c r="F11" i="6"/>
  <c r="F11" i="11" s="1"/>
  <c r="C13" i="6"/>
  <c r="F13" i="6"/>
  <c r="C4" i="7"/>
  <c r="F4" i="7"/>
  <c r="C8" i="6"/>
  <c r="F8" i="6"/>
  <c r="C7" i="6"/>
  <c r="F7" i="6"/>
  <c r="C9" i="6"/>
  <c r="F9" i="6"/>
  <c r="C9" i="7"/>
  <c r="F9" i="7"/>
  <c r="C10" i="6"/>
  <c r="F10" i="6"/>
  <c r="C10" i="7"/>
  <c r="F10" i="7"/>
  <c r="C12" i="6"/>
  <c r="F12" i="6"/>
  <c r="C12" i="7"/>
  <c r="F12" i="7"/>
  <c r="AE15" i="5"/>
  <c r="L2" i="7"/>
  <c r="L2" i="6"/>
  <c r="L2" i="11" s="1"/>
  <c r="AB15" i="5"/>
  <c r="J10" i="11"/>
  <c r="I10" i="11"/>
  <c r="K2" i="11"/>
  <c r="J9" i="11"/>
  <c r="J13" i="11"/>
  <c r="I13" i="11"/>
  <c r="J11" i="11"/>
  <c r="J12" i="11"/>
  <c r="I12" i="11"/>
  <c r="I7" i="11"/>
  <c r="J7" i="11"/>
  <c r="O3" i="11"/>
  <c r="P3" i="11"/>
  <c r="O9" i="11"/>
  <c r="P9" i="11"/>
  <c r="P6" i="11"/>
  <c r="P4" i="11"/>
  <c r="O4" i="11"/>
  <c r="P7" i="11"/>
  <c r="P10" i="11"/>
  <c r="G2" i="11"/>
  <c r="P12" i="11"/>
  <c r="Q2" i="11"/>
  <c r="O6" i="11"/>
  <c r="P8" i="11"/>
  <c r="O8" i="11"/>
  <c r="O7" i="11"/>
  <c r="O10" i="11"/>
  <c r="D2" i="11"/>
  <c r="E13" i="11"/>
  <c r="P11" i="11"/>
  <c r="O11" i="11"/>
  <c r="E8" i="11"/>
  <c r="E11" i="11"/>
  <c r="H13" i="11"/>
  <c r="H11" i="11"/>
  <c r="H8" i="11"/>
  <c r="D5" i="11"/>
  <c r="G5" i="11"/>
  <c r="E6" i="11"/>
  <c r="H6" i="11"/>
  <c r="D11" i="11"/>
  <c r="G11" i="11"/>
  <c r="D13" i="11"/>
  <c r="G13" i="11"/>
  <c r="E3" i="11"/>
  <c r="H3" i="11"/>
  <c r="D8" i="11"/>
  <c r="G8" i="11"/>
  <c r="D7" i="11"/>
  <c r="G7" i="11"/>
  <c r="E7" i="11"/>
  <c r="H7" i="11"/>
  <c r="H10" i="11"/>
  <c r="G12" i="11"/>
  <c r="H12" i="11"/>
  <c r="H9" i="11"/>
  <c r="E9" i="11"/>
  <c r="D10" i="11"/>
  <c r="G10" i="11"/>
  <c r="E10" i="11"/>
  <c r="D12" i="11"/>
  <c r="E12" i="11"/>
  <c r="M9" i="11"/>
  <c r="L9" i="11"/>
  <c r="M10" i="11"/>
  <c r="L10" i="11"/>
  <c r="M4" i="11"/>
  <c r="L4" i="11"/>
  <c r="M11" i="11"/>
  <c r="L11" i="11"/>
  <c r="M12" i="11"/>
  <c r="L12" i="11"/>
  <c r="M13" i="11"/>
  <c r="P13" i="11"/>
  <c r="L13" i="11"/>
  <c r="L5" i="11"/>
  <c r="I9" i="11"/>
  <c r="M2" i="11"/>
  <c r="O2" i="11" l="1"/>
  <c r="F2" i="11"/>
  <c r="C2" i="11"/>
  <c r="C13" i="11"/>
  <c r="F13" i="11"/>
  <c r="C8" i="11"/>
  <c r="F8" i="11"/>
  <c r="C7" i="11"/>
  <c r="C10" i="11"/>
  <c r="C6" i="11"/>
  <c r="F6" i="11"/>
  <c r="F7" i="11"/>
  <c r="C9" i="11"/>
  <c r="F9" i="11"/>
  <c r="F10" i="11"/>
  <c r="C12" i="11"/>
  <c r="F12" i="11"/>
  <c r="I2" i="11"/>
  <c r="C4" i="11"/>
  <c r="F4" i="11"/>
</calcChain>
</file>

<file path=xl/sharedStrings.xml><?xml version="1.0" encoding="utf-8"?>
<sst xmlns="http://schemas.openxmlformats.org/spreadsheetml/2006/main" count="426" uniqueCount="215">
  <si>
    <t>Additional land-use claims of the Land Use Scanner demo, in hectares, per province (prvnr as in geography.dms), cumulative since the base year in the sheet Years (2022).</t>
  </si>
  <si>
    <t>The model reads the base year and the claim years from the sheet Years. It takes the claim at ModelYear minus the claim at StartYear, linear between the claim years (0 in the base year), and adds up the provinces per landsdeel when it allocates per landsdeel.</t>
  </si>
  <si>
    <t>New claims: put their base year and claim years in the sheet Years and give each land-use sheet a column &lt;scenario&gt;_&lt;year&gt; for each claim year. StartYear (the year of the land-use map) may not be before the base year.</t>
  </si>
  <si>
    <t>The four storylines (A1 Global Economy, A2 Transatlantic Market, B1 Strong Europe, B2 Regional Communities) are quantified with the WLO 2025 (PBL):</t>
  </si>
  <si>
    <t>- growth: A1 and B1 (global, most population growth) follow scenario Hoog, A2 and B2 (regional) follow scenario Laag;</t>
  </si>
  <si>
    <t>- spatial pattern: A (market, less restrictive) follows the uncertainty exploration Uitleg (urban expansion), B (cooperation, concentration) the exploration Verdichting (densification).</t>
  </si>
  <si>
    <t>Residential + industrial: growth of the built-up area per COROP region in WLO (open data, 2021 to 2040 and 2050), times the factor of the exploration, without the share of holiday parks, split into residential and industrial with the shares of the exploration (sheet Parameters).</t>
  </si>
  <si>
    <t>Industrial land grows less in WLO 2025 than in the past (CBS land-use statistics 1996-2017: 1,343 ha per year). Recreation grew at 1,056 ha per year in the same period, so in some scenarios it now grows as much as industrial land.</t>
  </si>
  <si>
    <t>Recreation: holiday parks as the share of the growth of the built-up area in WLO (modelled with the Land Use Scanner, figure 4.2), plus day recreation: population growth per COROP region in WLO times the current day recreation area per inhabitant.</t>
  </si>
  <si>
    <t>Nature: A1 and A2 the minimum of the Nature Network Netherlands (NNN), B1 its maximum, B2 the new nature of the Nature Outlook that WLO uses; realised before 2030 and divided over the provinces as the new nature in WLO.</t>
  </si>
  <si>
    <t>Building lot: stays at its current area. Agriculture: takes the rest, per province, so that the claims of each province add up to 0.</t>
  </si>
  <si>
    <t>WLO 2025 starts in 2021; its growth from 2021 counts from the base year 2022, the year of the land-use map (CBS NBBG2022, 1 January 2022). 2030 lies linearly between the base year and 2040.</t>
  </si>
  <si>
    <t>To change a claim: edit the number in the sheet of that land-use type; agriculture adjusts itself in the same cell.</t>
  </si>
  <si>
    <t>Sources: PBL (2025), Toekomstverkenning Welvaart en Leefomgeving, open data cahier Regionale ontwikkelingen en ruimtegebruik (WLO2025_PBL_Regio.xlsx, CC-BY), figure 4.2 of that cahier (shares measured from the figure, precision about 0.15 percent point of the land area); CLO indicator nl1425 for the NNN.</t>
  </si>
  <si>
    <t>Built by Object Vision, 2026-10-22.</t>
  </si>
  <si>
    <t>year</t>
  </si>
  <si>
    <t>role</t>
  </si>
  <si>
    <t>description</t>
  </si>
  <si>
    <t>base</t>
  </si>
  <si>
    <t>Base year: the claims in the land-use sheets are cumulative from this year (0 in this year). It is the year of the land-use map (CBS NBBG2022, 1 January 2022). WLO 2025 starts in 2021; its growth from 2021 counts from this year.</t>
  </si>
  <si>
    <t>claim</t>
  </si>
  <si>
    <t>Linear between the base year and 2040: share_2030 in the sheet Parameters.</t>
  </si>
  <si>
    <t>WLO 2025.</t>
  </si>
  <si>
    <t>code</t>
  </si>
  <si>
    <t>name</t>
  </si>
  <si>
    <t>province</t>
  </si>
  <si>
    <t>prvnr</t>
  </si>
  <si>
    <t>builtup_2021</t>
  </si>
  <si>
    <t>builtup_2040_Hoog</t>
  </si>
  <si>
    <t>builtup_2050_Hoog</t>
  </si>
  <si>
    <t>builtup_2040_Laag</t>
  </si>
  <si>
    <t>builtup_2050_Laag</t>
  </si>
  <si>
    <t>pop_2021</t>
  </si>
  <si>
    <t>pop_2040_Hoog</t>
  </si>
  <si>
    <t>pop_2050_Hoog</t>
  </si>
  <si>
    <t>pop_2040_Laag</t>
  </si>
  <si>
    <t>pop_2050_Laag</t>
  </si>
  <si>
    <t>nature_2021</t>
  </si>
  <si>
    <t>nature_2040_Hoog</t>
  </si>
  <si>
    <t>nature_2040_Laag</t>
  </si>
  <si>
    <t>d_builtup_2040_Hoog</t>
  </si>
  <si>
    <t>d_builtup_2050_Hoog</t>
  </si>
  <si>
    <t>d_builtup_2040_Laag</t>
  </si>
  <si>
    <t>d_builtup_2050_Laag</t>
  </si>
  <si>
    <t>d_pop_2040_Hoog</t>
  </si>
  <si>
    <t>d_pop_2050_Hoog</t>
  </si>
  <si>
    <t>d_pop_2040_Laag</t>
  </si>
  <si>
    <t>d_pop_2050_Laag</t>
  </si>
  <si>
    <t>d_nature_2040_Hoog</t>
  </si>
  <si>
    <t>d_nature_2040_Laag</t>
  </si>
  <si>
    <t>Oost-Groningen</t>
  </si>
  <si>
    <t>Groningen</t>
  </si>
  <si>
    <t>Delfzijl en omgeving</t>
  </si>
  <si>
    <t>Overig Groningen</t>
  </si>
  <si>
    <t>Noord-Friesland</t>
  </si>
  <si>
    <t>Friesland</t>
  </si>
  <si>
    <t>Zuidwest-Friesland</t>
  </si>
  <si>
    <t>Zuidoost-Friesland</t>
  </si>
  <si>
    <t>Noord-Drenthe</t>
  </si>
  <si>
    <t>Drenthe</t>
  </si>
  <si>
    <t>Zuidoost-Drenthe</t>
  </si>
  <si>
    <t>Zuidwest-Drenthe</t>
  </si>
  <si>
    <t>Noord-Overijssel</t>
  </si>
  <si>
    <t>Overijssel</t>
  </si>
  <si>
    <t>Zuidwest-Overijssel</t>
  </si>
  <si>
    <t>Twente</t>
  </si>
  <si>
    <t>Veluwe</t>
  </si>
  <si>
    <t>Gelderland</t>
  </si>
  <si>
    <t>Achterhoek</t>
  </si>
  <si>
    <t>Arnhem/Nijmegen</t>
  </si>
  <si>
    <t>Zuidwest-Gelderland</t>
  </si>
  <si>
    <t>Utrecht</t>
  </si>
  <si>
    <t>Kop van Noord-Holland</t>
  </si>
  <si>
    <t>Noord-Holland</t>
  </si>
  <si>
    <t>Alkmaar en omgeving</t>
  </si>
  <si>
    <t>IJmond</t>
  </si>
  <si>
    <t>Agglomeratie Haarlem</t>
  </si>
  <si>
    <t>Zaanstreek</t>
  </si>
  <si>
    <t>Groot-Amsterdam</t>
  </si>
  <si>
    <t>Het Gooi en Vechtstreek</t>
  </si>
  <si>
    <t>Agglomeratie Leiden en Bollenstreek</t>
  </si>
  <si>
    <t>Zuid-Holland</t>
  </si>
  <si>
    <t>Agglomeratie 's-Gravenhage</t>
  </si>
  <si>
    <t>Delft en Westland</t>
  </si>
  <si>
    <t>Oost-Zuid-Holland</t>
  </si>
  <si>
    <t>Groot-Rijnmond</t>
  </si>
  <si>
    <t>Zuidoost-Zuid-Holland</t>
  </si>
  <si>
    <t>Zeeuwsch-Vlaanderen</t>
  </si>
  <si>
    <t>Zeeland</t>
  </si>
  <si>
    <t>Overig Zeeland</t>
  </si>
  <si>
    <t>West-Noord-Brabant</t>
  </si>
  <si>
    <t>Noord-Brabant</t>
  </si>
  <si>
    <t>Midden-Noord-Brabant</t>
  </si>
  <si>
    <t>Noordoost-Noord-Brabant</t>
  </si>
  <si>
    <t>Zuidoost-Noord-Brabant</t>
  </si>
  <si>
    <t>Noord-Limburg</t>
  </si>
  <si>
    <t>Limburg</t>
  </si>
  <si>
    <t>Midden-Limburg</t>
  </si>
  <si>
    <t>Zuid-Limburg</t>
  </si>
  <si>
    <t>Flevoland</t>
  </si>
  <si>
    <t>Built-up area and nature in km2, population in thousands (WLO 2025, open data cahier Regionale ontwikkelingen en ruimtegebruik). Columns d_ are growth since 2021: built-up area and nature in ha, population in persons; decline counts as 0.</t>
  </si>
  <si>
    <t>Parameter</t>
  </si>
  <si>
    <t>Value</t>
  </si>
  <si>
    <t>Description</t>
  </si>
  <si>
    <t>share_2030</t>
  </si>
  <si>
    <t>Share of the growth up to 2040 that is reached in 2030: linear from the base year in the sheet Years.</t>
  </si>
  <si>
    <t>recreation_base_year_ha</t>
  </si>
  <si>
    <t>Current recreation area in the land-use map of the base year (CBS NBBG2022 in this demo).</t>
  </si>
  <si>
    <t>population_2021</t>
  </si>
  <si>
    <t>Population in WLO 2021.</t>
  </si>
  <si>
    <t>day_recreation_ha_per_inhabitant</t>
  </si>
  <si>
    <t>Area for day recreation (parks, sports, allotments, day recreation sites) per inhabitant, kept constant: the current recreation area minus holiday parks.</t>
  </si>
  <si>
    <t>Figure 4.2 of the WLO cahier: share of the land area in 2060 (2021 for the base), percent; measured from the figure</t>
  </si>
  <si>
    <t>variant</t>
  </si>
  <si>
    <t>residential</t>
  </si>
  <si>
    <t>industrial</t>
  </si>
  <si>
    <t>holiday parks</t>
  </si>
  <si>
    <t>growth total</t>
  </si>
  <si>
    <t>factor to reference</t>
  </si>
  <si>
    <t>residential share of res+ind</t>
  </si>
  <si>
    <t>holiday park share of growth</t>
  </si>
  <si>
    <t>2021</t>
  </si>
  <si>
    <t>Hoog</t>
  </si>
  <si>
    <t>Hoog Verdichting</t>
  </si>
  <si>
    <t>Hoog Uitleg</t>
  </si>
  <si>
    <t>Laag</t>
  </si>
  <si>
    <t>Laag Verdichting</t>
  </si>
  <si>
    <t>Laag Uitleg</t>
  </si>
  <si>
    <t>Scenarios</t>
  </si>
  <si>
    <t>scenario</t>
  </si>
  <si>
    <t>WLO growth</t>
  </si>
  <si>
    <t>WLO exploration</t>
  </si>
  <si>
    <t>nature claim (ha)</t>
  </si>
  <si>
    <t>nature source</t>
  </si>
  <si>
    <t>A1</t>
  </si>
  <si>
    <t>Uitleg</t>
  </si>
  <si>
    <t>NNN minimum: 703,000 ha realised, at least 738,000 ha in 2028 (CLO)</t>
  </si>
  <si>
    <t>A2</t>
  </si>
  <si>
    <t>NNN minimum, as A1</t>
  </si>
  <si>
    <t>B1</t>
  </si>
  <si>
    <t>Verdichting</t>
  </si>
  <si>
    <t>NNN maximum: up to 774,000 ha in 2028 (CLO)</t>
  </si>
  <si>
    <t>B2</t>
  </si>
  <si>
    <t>New nature of the Nature Outlook in WLO 2025 Laag (2021-2040), realised in 2030</t>
  </si>
  <si>
    <t>Base for recreation</t>
  </si>
  <si>
    <t>land_area_km2</t>
  </si>
  <si>
    <t>Land area: built-up area 2021 in WLO divided by its share of the land area in figure 4.2.</t>
  </si>
  <si>
    <t>holiday_parks_2021_ha</t>
  </si>
  <si>
    <t>Holiday parks in 2021: their share of the land area in figure 4.2.</t>
  </si>
  <si>
    <t>RstIntPer</t>
  </si>
  <si>
    <t>A1_residential_2030</t>
  </si>
  <si>
    <t>A1_residential_2040</t>
  </si>
  <si>
    <t>A1_residential_2050</t>
  </si>
  <si>
    <t>A1_industrial_2030</t>
  </si>
  <si>
    <t>A1_industrial_2040</t>
  </si>
  <si>
    <t>A1_industrial_2050</t>
  </si>
  <si>
    <t>A1_recreation_2030</t>
  </si>
  <si>
    <t>A1_recreation_2040</t>
  </si>
  <si>
    <t>A1_recreation_2050</t>
  </si>
  <si>
    <t>A1_nature_2030</t>
  </si>
  <si>
    <t>A1_nature_2040</t>
  </si>
  <si>
    <t>A1_nature_2050</t>
  </si>
  <si>
    <t>A2_residential_2030</t>
  </si>
  <si>
    <t>A2_residential_2040</t>
  </si>
  <si>
    <t>A2_residential_2050</t>
  </si>
  <si>
    <t>A2_industrial_2030</t>
  </si>
  <si>
    <t>A2_industrial_2040</t>
  </si>
  <si>
    <t>A2_industrial_2050</t>
  </si>
  <si>
    <t>A2_recreation_2030</t>
  </si>
  <si>
    <t>A2_recreation_2040</t>
  </si>
  <si>
    <t>A2_recreation_2050</t>
  </si>
  <si>
    <t>A2_nature_2030</t>
  </si>
  <si>
    <t>A2_nature_2040</t>
  </si>
  <si>
    <t>A2_nature_2050</t>
  </si>
  <si>
    <t>B1_residential_2030</t>
  </si>
  <si>
    <t>B1_residential_2040</t>
  </si>
  <si>
    <t>B1_residential_2050</t>
  </si>
  <si>
    <t>B1_industrial_2030</t>
  </si>
  <si>
    <t>B1_industrial_2040</t>
  </si>
  <si>
    <t>B1_industrial_2050</t>
  </si>
  <si>
    <t>B1_recreation_2030</t>
  </si>
  <si>
    <t>B1_recreation_2040</t>
  </si>
  <si>
    <t>B1_recreation_2050</t>
  </si>
  <si>
    <t>B1_nature_2030</t>
  </si>
  <si>
    <t>B1_nature_2040</t>
  </si>
  <si>
    <t>B1_nature_2050</t>
  </si>
  <si>
    <t>B2_residential_2030</t>
  </si>
  <si>
    <t>B2_residential_2040</t>
  </si>
  <si>
    <t>B2_residential_2050</t>
  </si>
  <si>
    <t>B2_industrial_2030</t>
  </si>
  <si>
    <t>B2_industrial_2040</t>
  </si>
  <si>
    <t>B2_industrial_2050</t>
  </si>
  <si>
    <t>B2_recreation_2030</t>
  </si>
  <si>
    <t>B2_recreation_2040</t>
  </si>
  <si>
    <t>B2_recreation_2050</t>
  </si>
  <si>
    <t>B2_nature_2030</t>
  </si>
  <si>
    <t>B2_nature_2040</t>
  </si>
  <si>
    <t>B2_nature_2050</t>
  </si>
  <si>
    <t>Total</t>
  </si>
  <si>
    <t>Province</t>
  </si>
  <si>
    <t>A1_2030</t>
  </si>
  <si>
    <t>A1_2040</t>
  </si>
  <si>
    <t>A1_2050</t>
  </si>
  <si>
    <t>A1_Policy_2030</t>
  </si>
  <si>
    <t>A1_Policy_2040</t>
  </si>
  <si>
    <t>A1_Policy_2050</t>
  </si>
  <si>
    <t>A2_2030</t>
  </si>
  <si>
    <t>A2_2040</t>
  </si>
  <si>
    <t>A2_2050</t>
  </si>
  <si>
    <t>B1_2030</t>
  </si>
  <si>
    <t>B1_2040</t>
  </si>
  <si>
    <t>B1_2050</t>
  </si>
  <si>
    <t>B2_2030</t>
  </si>
  <si>
    <t>B2_2040</t>
  </si>
  <si>
    <t>B2_2050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</si>
</sst>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5"/>
  <sheetViews>
    <sheetView tabSelected="1" workbookViewId="0"/>
  </sheetViews>
  <sheetFormatPr defaultRowHeight="15" x14ac:dyDescent="0.25"/>
  <cols>
    <col min="1" max="1" width="160" customWidth="1"/>
  </cols>
  <sheetData>
    <row r="1" spans="1:1" x14ac:dyDescent="0.25">
      <c r="A1" t="s">
        <v>0</v>
      </c>
    </row>
    <row r="2" spans="1:1" x14ac:dyDescent="0.25">
      <c r="A2" t="s">
        <v>1</v>
      </c>
    </row>
    <row r="3" spans="1:1" x14ac:dyDescent="0.25">
      <c r="A3" t="s">
        <v>2</v>
      </c>
    </row>
    <row r="4" spans="1:1" x14ac:dyDescent="0.25">
      <c r="A4" t="s">
        <v>3</v>
      </c>
    </row>
    <row r="5" spans="1:1" x14ac:dyDescent="0.25">
      <c r="A5" t="s">
        <v>4</v>
      </c>
    </row>
    <row r="6" spans="1:1" x14ac:dyDescent="0.25">
      <c r="A6" t="s">
        <v>5</v>
      </c>
    </row>
    <row r="7" spans="1:1" x14ac:dyDescent="0.25">
      <c r="A7" t="s">
        <v>6</v>
      </c>
    </row>
    <row r="8" spans="1:1" x14ac:dyDescent="0.25">
      <c r="A8" t="s">
        <v>7</v>
      </c>
    </row>
    <row r="9" spans="1:1" x14ac:dyDescent="0.25">
      <c r="A9" t="s">
        <v>8</v>
      </c>
    </row>
    <row r="10" spans="1:1" x14ac:dyDescent="0.25">
      <c r="A10" t="s">
        <v>9</v>
      </c>
    </row>
    <row r="11" spans="1:1" x14ac:dyDescent="0.25">
      <c r="A11" t="s">
        <v>10</v>
      </c>
    </row>
    <row r="12" spans="1:1" x14ac:dyDescent="0.25">
      <c r="A12" t="s">
        <v>11</v>
      </c>
    </row>
    <row r="13" spans="1:1" x14ac:dyDescent="0.25">
      <c r="A13" t="s">
        <v>12</v>
      </c>
    </row>
    <row r="14" spans="1:1" x14ac:dyDescent="0.25">
      <c r="A14" t="s">
        <v>13</v>
      </c>
    </row>
    <row r="15" spans="1:1" x14ac:dyDescent="0.25">
      <c r="A15" t="s">
        <v>14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5"/>
  <sheetViews>
    <sheetView workbookViewId="0"/>
  </sheetViews>
  <sheetFormatPr defaultRowHeight="15" x14ac:dyDescent="0.25"/>
  <cols>
    <col min="3" max="3" width="120" customWidth="1"/>
  </cols>
  <sheetData>
    <row r="1" spans="1:3" x14ac:dyDescent="0.25">
      <c r="A1" s="1" t="s">
        <v>15</v>
      </c>
      <c r="B1" s="1" t="s">
        <v>16</v>
      </c>
      <c r="C1" s="1" t="s">
        <v>17</v>
      </c>
    </row>
    <row r="2" spans="1:3" x14ac:dyDescent="0.25">
      <c r="A2">
        <v>2022</v>
      </c>
      <c r="B2" t="s">
        <v>18</v>
      </c>
      <c r="C2" t="s">
        <v>19</v>
      </c>
    </row>
    <row r="3" spans="1:3" x14ac:dyDescent="0.25">
      <c r="A3">
        <v>2030</v>
      </c>
      <c r="B3" t="s">
        <v>20</v>
      </c>
      <c r="C3" t="s">
        <v>21</v>
      </c>
    </row>
    <row r="4" spans="1:3" x14ac:dyDescent="0.25">
      <c r="A4">
        <v>2040</v>
      </c>
      <c r="B4" t="s">
        <v>20</v>
      </c>
      <c r="C4" t="s">
        <v>22</v>
      </c>
    </row>
    <row r="5" spans="1:3" x14ac:dyDescent="0.25">
      <c r="A5">
        <v>2050</v>
      </c>
      <c r="B5" t="s">
        <v>20</v>
      </c>
      <c r="C5" t="s">
        <v>22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43"/>
  <sheetViews>
    <sheetView workbookViewId="0"/>
  </sheetViews>
  <sheetFormatPr defaultRowHeight="15" x14ac:dyDescent="0.25"/>
  <sheetData>
    <row r="1" spans="1:27" x14ac:dyDescent="0.25">
      <c r="A1" s="1" t="s">
        <v>23</v>
      </c>
      <c r="B1" s="1" t="s">
        <v>24</v>
      </c>
      <c r="C1" s="1" t="s">
        <v>25</v>
      </c>
      <c r="D1" s="1" t="s">
        <v>26</v>
      </c>
      <c r="E1" s="1" t="s">
        <v>27</v>
      </c>
      <c r="F1" s="1" t="s">
        <v>28</v>
      </c>
      <c r="G1" s="1" t="s">
        <v>29</v>
      </c>
      <c r="H1" s="1" t="s">
        <v>30</v>
      </c>
      <c r="I1" s="1" t="s">
        <v>31</v>
      </c>
      <c r="J1" s="1" t="s">
        <v>32</v>
      </c>
      <c r="K1" s="1" t="s">
        <v>33</v>
      </c>
      <c r="L1" s="1" t="s">
        <v>34</v>
      </c>
      <c r="M1" s="1" t="s">
        <v>35</v>
      </c>
      <c r="N1" s="1" t="s">
        <v>36</v>
      </c>
      <c r="O1" s="1" t="s">
        <v>37</v>
      </c>
      <c r="P1" s="1" t="s">
        <v>38</v>
      </c>
      <c r="Q1" s="1" t="s">
        <v>39</v>
      </c>
      <c r="R1" s="1" t="s">
        <v>40</v>
      </c>
      <c r="S1" s="1" t="s">
        <v>41</v>
      </c>
      <c r="T1" s="1" t="s">
        <v>42</v>
      </c>
      <c r="U1" s="1" t="s">
        <v>43</v>
      </c>
      <c r="V1" s="1" t="s">
        <v>44</v>
      </c>
      <c r="W1" s="1" t="s">
        <v>45</v>
      </c>
      <c r="X1" s="1" t="s">
        <v>46</v>
      </c>
      <c r="Y1" s="1" t="s">
        <v>47</v>
      </c>
      <c r="Z1" s="1" t="s">
        <v>48</v>
      </c>
      <c r="AA1" s="1" t="s">
        <v>49</v>
      </c>
    </row>
    <row r="2" spans="1:27" x14ac:dyDescent="0.25">
      <c r="A2">
        <v>1</v>
      </c>
      <c r="B2" t="s">
        <v>50</v>
      </c>
      <c r="C2" t="s">
        <v>51</v>
      </c>
      <c r="D2">
        <v>1</v>
      </c>
      <c r="E2">
        <v>54.3</v>
      </c>
      <c r="F2">
        <v>55.9</v>
      </c>
      <c r="G2">
        <v>56.6</v>
      </c>
      <c r="H2">
        <v>55.5</v>
      </c>
      <c r="I2">
        <v>56.7</v>
      </c>
      <c r="J2">
        <v>136</v>
      </c>
      <c r="K2">
        <v>135</v>
      </c>
      <c r="L2">
        <v>134</v>
      </c>
      <c r="M2">
        <v>127</v>
      </c>
      <c r="N2">
        <v>123</v>
      </c>
      <c r="O2">
        <v>67.7</v>
      </c>
      <c r="P2">
        <v>78.2</v>
      </c>
      <c r="Q2">
        <v>78.2</v>
      </c>
      <c r="R2">
        <f t="shared" ref="R2:R41" si="0">MAX(F2-E2,0)*100</f>
        <v>160.00000000000014</v>
      </c>
      <c r="S2">
        <f t="shared" ref="S2:S41" si="1">MAX(G2-E2,0)*100</f>
        <v>230.00000000000043</v>
      </c>
      <c r="T2">
        <f t="shared" ref="T2:T41" si="2">MAX(H2-E2,0)*100</f>
        <v>120.00000000000028</v>
      </c>
      <c r="U2">
        <f t="shared" ref="U2:U41" si="3">MAX(I2-E2,0)*100</f>
        <v>240.00000000000057</v>
      </c>
      <c r="V2">
        <f t="shared" ref="V2:V41" si="4">MAX(K2-J2,0)*1000</f>
        <v>0</v>
      </c>
      <c r="W2">
        <f t="shared" ref="W2:W41" si="5">MAX(L2-J2,0)*1000</f>
        <v>0</v>
      </c>
      <c r="X2">
        <f t="shared" ref="X2:X41" si="6">MAX(M2-J2,0)*1000</f>
        <v>0</v>
      </c>
      <c r="Y2">
        <f t="shared" ref="Y2:Y41" si="7">MAX(N2-J2,0)*1000</f>
        <v>0</v>
      </c>
      <c r="Z2">
        <f t="shared" ref="Z2:Z41" si="8">MAX(P2-O2,0)*100</f>
        <v>1050</v>
      </c>
      <c r="AA2">
        <f t="shared" ref="AA2:AA41" si="9">MAX(Q2-O2,0)*100</f>
        <v>1050</v>
      </c>
    </row>
    <row r="3" spans="1:27" x14ac:dyDescent="0.25">
      <c r="A3">
        <v>2</v>
      </c>
      <c r="B3" t="s">
        <v>52</v>
      </c>
      <c r="C3" t="s">
        <v>51</v>
      </c>
      <c r="D3">
        <v>1</v>
      </c>
      <c r="E3">
        <v>18.5</v>
      </c>
      <c r="F3">
        <v>19.2</v>
      </c>
      <c r="G3">
        <v>19.3</v>
      </c>
      <c r="H3">
        <v>19.3</v>
      </c>
      <c r="I3">
        <v>19.8</v>
      </c>
      <c r="J3">
        <v>46</v>
      </c>
      <c r="K3">
        <v>46</v>
      </c>
      <c r="L3">
        <v>45</v>
      </c>
      <c r="M3">
        <v>44</v>
      </c>
      <c r="N3">
        <v>43</v>
      </c>
      <c r="O3">
        <v>7.4</v>
      </c>
      <c r="P3">
        <v>9.1999999999999993</v>
      </c>
      <c r="Q3">
        <v>9.1999999999999993</v>
      </c>
      <c r="R3">
        <f t="shared" si="0"/>
        <v>69.999999999999929</v>
      </c>
      <c r="S3">
        <f t="shared" si="1"/>
        <v>80.000000000000071</v>
      </c>
      <c r="T3">
        <f t="shared" si="2"/>
        <v>80.000000000000071</v>
      </c>
      <c r="U3">
        <f t="shared" si="3"/>
        <v>130.00000000000006</v>
      </c>
      <c r="V3">
        <f t="shared" si="4"/>
        <v>0</v>
      </c>
      <c r="W3">
        <f t="shared" si="5"/>
        <v>0</v>
      </c>
      <c r="X3">
        <f t="shared" si="6"/>
        <v>0</v>
      </c>
      <c r="Y3">
        <f t="shared" si="7"/>
        <v>0</v>
      </c>
      <c r="Z3">
        <f t="shared" si="8"/>
        <v>179.99999999999989</v>
      </c>
      <c r="AA3">
        <f t="shared" si="9"/>
        <v>179.99999999999989</v>
      </c>
    </row>
    <row r="4" spans="1:27" x14ac:dyDescent="0.25">
      <c r="A4">
        <v>3</v>
      </c>
      <c r="B4" t="s">
        <v>53</v>
      </c>
      <c r="C4" t="s">
        <v>51</v>
      </c>
      <c r="D4">
        <v>1</v>
      </c>
      <c r="E4">
        <v>106.8</v>
      </c>
      <c r="F4">
        <v>118.7</v>
      </c>
      <c r="G4">
        <v>122.4</v>
      </c>
      <c r="H4">
        <v>113.2</v>
      </c>
      <c r="I4">
        <v>115.8</v>
      </c>
      <c r="J4">
        <v>405</v>
      </c>
      <c r="K4">
        <v>474</v>
      </c>
      <c r="L4">
        <v>492</v>
      </c>
      <c r="M4">
        <v>446</v>
      </c>
      <c r="N4">
        <v>442</v>
      </c>
      <c r="O4">
        <v>119.1</v>
      </c>
      <c r="P4">
        <v>149.9</v>
      </c>
      <c r="Q4">
        <v>149.9</v>
      </c>
      <c r="R4">
        <f t="shared" si="0"/>
        <v>1190.0000000000005</v>
      </c>
      <c r="S4">
        <f t="shared" si="1"/>
        <v>1560.0000000000009</v>
      </c>
      <c r="T4">
        <f t="shared" si="2"/>
        <v>640.00000000000057</v>
      </c>
      <c r="U4">
        <f t="shared" si="3"/>
        <v>900</v>
      </c>
      <c r="V4">
        <f t="shared" si="4"/>
        <v>69000</v>
      </c>
      <c r="W4">
        <f t="shared" si="5"/>
        <v>87000</v>
      </c>
      <c r="X4">
        <f t="shared" si="6"/>
        <v>41000</v>
      </c>
      <c r="Y4">
        <f t="shared" si="7"/>
        <v>37000</v>
      </c>
      <c r="Z4">
        <f t="shared" si="8"/>
        <v>3080.0000000000009</v>
      </c>
      <c r="AA4">
        <f t="shared" si="9"/>
        <v>3080.0000000000009</v>
      </c>
    </row>
    <row r="5" spans="1:27" x14ac:dyDescent="0.25">
      <c r="A5">
        <v>4</v>
      </c>
      <c r="B5" t="s">
        <v>54</v>
      </c>
      <c r="C5" t="s">
        <v>55</v>
      </c>
      <c r="D5">
        <v>2</v>
      </c>
      <c r="E5">
        <v>103</v>
      </c>
      <c r="F5">
        <v>113.1</v>
      </c>
      <c r="G5">
        <v>117.3</v>
      </c>
      <c r="H5">
        <v>111.4</v>
      </c>
      <c r="I5">
        <v>117.2</v>
      </c>
      <c r="J5">
        <v>321</v>
      </c>
      <c r="K5">
        <v>340</v>
      </c>
      <c r="L5">
        <v>345</v>
      </c>
      <c r="M5">
        <v>326</v>
      </c>
      <c r="N5">
        <v>324</v>
      </c>
      <c r="O5">
        <v>268.89999999999998</v>
      </c>
      <c r="P5">
        <v>308</v>
      </c>
      <c r="Q5">
        <v>307.89999999999998</v>
      </c>
      <c r="R5">
        <f t="shared" si="0"/>
        <v>1009.9999999999994</v>
      </c>
      <c r="S5">
        <f t="shared" si="1"/>
        <v>1429.9999999999998</v>
      </c>
      <c r="T5">
        <f t="shared" si="2"/>
        <v>840.00000000000057</v>
      </c>
      <c r="U5">
        <f t="shared" si="3"/>
        <v>1420.0000000000002</v>
      </c>
      <c r="V5">
        <f t="shared" si="4"/>
        <v>19000</v>
      </c>
      <c r="W5">
        <f t="shared" si="5"/>
        <v>24000</v>
      </c>
      <c r="X5">
        <f t="shared" si="6"/>
        <v>5000</v>
      </c>
      <c r="Y5">
        <f t="shared" si="7"/>
        <v>3000</v>
      </c>
      <c r="Z5">
        <f t="shared" si="8"/>
        <v>3910.0000000000023</v>
      </c>
      <c r="AA5">
        <f t="shared" si="9"/>
        <v>3900</v>
      </c>
    </row>
    <row r="6" spans="1:27" x14ac:dyDescent="0.25">
      <c r="A6">
        <v>5</v>
      </c>
      <c r="B6" t="s">
        <v>56</v>
      </c>
      <c r="C6" t="s">
        <v>55</v>
      </c>
      <c r="D6">
        <v>2</v>
      </c>
      <c r="E6">
        <v>49.5</v>
      </c>
      <c r="F6">
        <v>52.2</v>
      </c>
      <c r="G6">
        <v>55.3</v>
      </c>
      <c r="H6">
        <v>52.2</v>
      </c>
      <c r="I6">
        <v>56.4</v>
      </c>
      <c r="J6">
        <v>142</v>
      </c>
      <c r="K6">
        <v>140</v>
      </c>
      <c r="L6">
        <v>141</v>
      </c>
      <c r="M6">
        <v>132</v>
      </c>
      <c r="N6">
        <v>130</v>
      </c>
      <c r="O6">
        <v>59.1</v>
      </c>
      <c r="P6">
        <v>77</v>
      </c>
      <c r="Q6">
        <v>77</v>
      </c>
      <c r="R6">
        <f t="shared" si="0"/>
        <v>270.00000000000028</v>
      </c>
      <c r="S6">
        <f t="shared" si="1"/>
        <v>579.99999999999977</v>
      </c>
      <c r="T6">
        <f t="shared" si="2"/>
        <v>270.00000000000028</v>
      </c>
      <c r="U6">
        <f t="shared" si="3"/>
        <v>689.99999999999989</v>
      </c>
      <c r="V6">
        <f t="shared" si="4"/>
        <v>0</v>
      </c>
      <c r="W6">
        <f t="shared" si="5"/>
        <v>0</v>
      </c>
      <c r="X6">
        <f t="shared" si="6"/>
        <v>0</v>
      </c>
      <c r="Y6">
        <f t="shared" si="7"/>
        <v>0</v>
      </c>
      <c r="Z6">
        <f t="shared" si="8"/>
        <v>1789.9999999999998</v>
      </c>
      <c r="AA6">
        <f t="shared" si="9"/>
        <v>1789.9999999999998</v>
      </c>
    </row>
    <row r="7" spans="1:27" x14ac:dyDescent="0.25">
      <c r="A7">
        <v>6</v>
      </c>
      <c r="B7" t="s">
        <v>57</v>
      </c>
      <c r="C7" t="s">
        <v>55</v>
      </c>
      <c r="D7">
        <v>2</v>
      </c>
      <c r="E7">
        <v>60.9</v>
      </c>
      <c r="F7">
        <v>64.7</v>
      </c>
      <c r="G7">
        <v>66.099999999999994</v>
      </c>
      <c r="H7">
        <v>63.2</v>
      </c>
      <c r="I7">
        <v>64.599999999999994</v>
      </c>
      <c r="J7">
        <v>188</v>
      </c>
      <c r="K7">
        <v>195</v>
      </c>
      <c r="L7">
        <v>198</v>
      </c>
      <c r="M7">
        <v>183</v>
      </c>
      <c r="N7">
        <v>179</v>
      </c>
      <c r="O7">
        <v>157.6</v>
      </c>
      <c r="P7">
        <v>172.7</v>
      </c>
      <c r="Q7">
        <v>172.7</v>
      </c>
      <c r="R7">
        <f t="shared" si="0"/>
        <v>380.00000000000045</v>
      </c>
      <c r="S7">
        <f t="shared" si="1"/>
        <v>519.99999999999955</v>
      </c>
      <c r="T7">
        <f t="shared" si="2"/>
        <v>230.00000000000043</v>
      </c>
      <c r="U7">
        <f t="shared" si="3"/>
        <v>369.99999999999955</v>
      </c>
      <c r="V7">
        <f t="shared" si="4"/>
        <v>7000</v>
      </c>
      <c r="W7">
        <f t="shared" si="5"/>
        <v>10000</v>
      </c>
      <c r="X7">
        <f t="shared" si="6"/>
        <v>0</v>
      </c>
      <c r="Y7">
        <f t="shared" si="7"/>
        <v>0</v>
      </c>
      <c r="Z7">
        <f t="shared" si="8"/>
        <v>1509.9999999999995</v>
      </c>
      <c r="AA7">
        <f t="shared" si="9"/>
        <v>1509.9999999999995</v>
      </c>
    </row>
    <row r="8" spans="1:27" x14ac:dyDescent="0.25">
      <c r="A8">
        <v>7</v>
      </c>
      <c r="B8" t="s">
        <v>58</v>
      </c>
      <c r="C8" t="s">
        <v>59</v>
      </c>
      <c r="D8">
        <v>3</v>
      </c>
      <c r="E8">
        <v>74.5</v>
      </c>
      <c r="F8">
        <v>79.8</v>
      </c>
      <c r="G8">
        <v>82.8</v>
      </c>
      <c r="H8">
        <v>77.5</v>
      </c>
      <c r="I8">
        <v>79.900000000000006</v>
      </c>
      <c r="J8">
        <v>193</v>
      </c>
      <c r="K8">
        <v>200</v>
      </c>
      <c r="L8">
        <v>205</v>
      </c>
      <c r="M8">
        <v>187</v>
      </c>
      <c r="N8">
        <v>185</v>
      </c>
      <c r="O8">
        <v>297.7</v>
      </c>
      <c r="P8">
        <v>338.8</v>
      </c>
      <c r="Q8">
        <v>339</v>
      </c>
      <c r="R8">
        <f t="shared" si="0"/>
        <v>529.99999999999977</v>
      </c>
      <c r="S8">
        <f t="shared" si="1"/>
        <v>829.99999999999977</v>
      </c>
      <c r="T8">
        <f t="shared" si="2"/>
        <v>300</v>
      </c>
      <c r="U8">
        <f t="shared" si="3"/>
        <v>540.00000000000057</v>
      </c>
      <c r="V8">
        <f t="shared" si="4"/>
        <v>7000</v>
      </c>
      <c r="W8">
        <f t="shared" si="5"/>
        <v>12000</v>
      </c>
      <c r="X8">
        <f t="shared" si="6"/>
        <v>0</v>
      </c>
      <c r="Y8">
        <f t="shared" si="7"/>
        <v>0</v>
      </c>
      <c r="Z8">
        <f t="shared" si="8"/>
        <v>4110.0000000000018</v>
      </c>
      <c r="AA8">
        <f t="shared" si="9"/>
        <v>4130.0000000000009</v>
      </c>
    </row>
    <row r="9" spans="1:27" x14ac:dyDescent="0.25">
      <c r="A9">
        <v>8</v>
      </c>
      <c r="B9" t="s">
        <v>60</v>
      </c>
      <c r="C9" t="s">
        <v>59</v>
      </c>
      <c r="D9">
        <v>3</v>
      </c>
      <c r="E9">
        <v>69.5</v>
      </c>
      <c r="F9">
        <v>73.2</v>
      </c>
      <c r="G9">
        <v>75.099999999999994</v>
      </c>
      <c r="H9">
        <v>72.400000000000006</v>
      </c>
      <c r="I9">
        <v>74.7</v>
      </c>
      <c r="J9">
        <v>168</v>
      </c>
      <c r="K9">
        <v>164</v>
      </c>
      <c r="L9">
        <v>160</v>
      </c>
      <c r="M9">
        <v>155</v>
      </c>
      <c r="N9">
        <v>150</v>
      </c>
      <c r="O9">
        <v>149.6</v>
      </c>
      <c r="P9">
        <v>167.2</v>
      </c>
      <c r="Q9">
        <v>167.2</v>
      </c>
      <c r="R9">
        <f t="shared" si="0"/>
        <v>370.00000000000028</v>
      </c>
      <c r="S9">
        <f t="shared" si="1"/>
        <v>559.99999999999943</v>
      </c>
      <c r="T9">
        <f t="shared" si="2"/>
        <v>290.00000000000057</v>
      </c>
      <c r="U9">
        <f t="shared" si="3"/>
        <v>520.00000000000023</v>
      </c>
      <c r="V9">
        <f t="shared" si="4"/>
        <v>0</v>
      </c>
      <c r="W9">
        <f t="shared" si="5"/>
        <v>0</v>
      </c>
      <c r="X9">
        <f t="shared" si="6"/>
        <v>0</v>
      </c>
      <c r="Y9">
        <f t="shared" si="7"/>
        <v>0</v>
      </c>
      <c r="Z9">
        <f t="shared" si="8"/>
        <v>1759.9999999999995</v>
      </c>
      <c r="AA9">
        <f t="shared" si="9"/>
        <v>1759.9999999999995</v>
      </c>
    </row>
    <row r="10" spans="1:27" x14ac:dyDescent="0.25">
      <c r="A10">
        <v>9</v>
      </c>
      <c r="B10" t="s">
        <v>61</v>
      </c>
      <c r="C10" t="s">
        <v>59</v>
      </c>
      <c r="D10">
        <v>3</v>
      </c>
      <c r="E10">
        <v>44.1</v>
      </c>
      <c r="F10">
        <v>50</v>
      </c>
      <c r="G10">
        <v>51.9</v>
      </c>
      <c r="H10">
        <v>48.9</v>
      </c>
      <c r="I10">
        <v>50.6</v>
      </c>
      <c r="J10">
        <v>134</v>
      </c>
      <c r="K10">
        <v>139</v>
      </c>
      <c r="L10">
        <v>140</v>
      </c>
      <c r="M10">
        <v>132</v>
      </c>
      <c r="N10">
        <v>129</v>
      </c>
      <c r="O10">
        <v>191.8</v>
      </c>
      <c r="P10">
        <v>207.8</v>
      </c>
      <c r="Q10">
        <v>207.8</v>
      </c>
      <c r="R10">
        <f t="shared" si="0"/>
        <v>589.99999999999989</v>
      </c>
      <c r="S10">
        <f t="shared" si="1"/>
        <v>779.99999999999977</v>
      </c>
      <c r="T10">
        <f t="shared" si="2"/>
        <v>479.99999999999972</v>
      </c>
      <c r="U10">
        <f t="shared" si="3"/>
        <v>650</v>
      </c>
      <c r="V10">
        <f t="shared" si="4"/>
        <v>5000</v>
      </c>
      <c r="W10">
        <f t="shared" si="5"/>
        <v>6000</v>
      </c>
      <c r="X10">
        <f t="shared" si="6"/>
        <v>0</v>
      </c>
      <c r="Y10">
        <f t="shared" si="7"/>
        <v>0</v>
      </c>
      <c r="Z10">
        <f t="shared" si="8"/>
        <v>1600</v>
      </c>
      <c r="AA10">
        <f t="shared" si="9"/>
        <v>1600</v>
      </c>
    </row>
    <row r="11" spans="1:27" x14ac:dyDescent="0.25">
      <c r="A11">
        <v>10</v>
      </c>
      <c r="B11" t="s">
        <v>62</v>
      </c>
      <c r="C11" t="s">
        <v>63</v>
      </c>
      <c r="D11">
        <v>4</v>
      </c>
      <c r="E11">
        <v>106.8</v>
      </c>
      <c r="F11">
        <v>122.9</v>
      </c>
      <c r="G11">
        <v>136.30000000000001</v>
      </c>
      <c r="H11">
        <v>118</v>
      </c>
      <c r="I11">
        <v>125.1</v>
      </c>
      <c r="J11">
        <v>378</v>
      </c>
      <c r="K11">
        <v>425</v>
      </c>
      <c r="L11">
        <v>456</v>
      </c>
      <c r="M11">
        <v>399</v>
      </c>
      <c r="N11">
        <v>404</v>
      </c>
      <c r="O11">
        <v>253.8</v>
      </c>
      <c r="P11">
        <v>283.7</v>
      </c>
      <c r="Q11">
        <v>283.7</v>
      </c>
      <c r="R11">
        <f t="shared" si="0"/>
        <v>1610.0000000000009</v>
      </c>
      <c r="S11">
        <f t="shared" si="1"/>
        <v>2950.0000000000014</v>
      </c>
      <c r="T11">
        <f t="shared" si="2"/>
        <v>1120.0000000000002</v>
      </c>
      <c r="U11">
        <f t="shared" si="3"/>
        <v>1829.9999999999998</v>
      </c>
      <c r="V11">
        <f t="shared" si="4"/>
        <v>47000</v>
      </c>
      <c r="W11">
        <f t="shared" si="5"/>
        <v>78000</v>
      </c>
      <c r="X11">
        <f t="shared" si="6"/>
        <v>21000</v>
      </c>
      <c r="Y11">
        <f t="shared" si="7"/>
        <v>26000</v>
      </c>
      <c r="Z11">
        <f t="shared" si="8"/>
        <v>2989.9999999999977</v>
      </c>
      <c r="AA11">
        <f t="shared" si="9"/>
        <v>2989.9999999999977</v>
      </c>
    </row>
    <row r="12" spans="1:27" x14ac:dyDescent="0.25">
      <c r="A12">
        <v>11</v>
      </c>
      <c r="B12" t="s">
        <v>64</v>
      </c>
      <c r="C12" t="s">
        <v>63</v>
      </c>
      <c r="D12">
        <v>4</v>
      </c>
      <c r="E12">
        <v>35.799999999999997</v>
      </c>
      <c r="F12">
        <v>38</v>
      </c>
      <c r="G12">
        <v>39.299999999999997</v>
      </c>
      <c r="H12">
        <v>36.799999999999997</v>
      </c>
      <c r="I12">
        <v>37.1</v>
      </c>
      <c r="J12">
        <v>158</v>
      </c>
      <c r="K12">
        <v>171</v>
      </c>
      <c r="L12">
        <v>175</v>
      </c>
      <c r="M12">
        <v>158</v>
      </c>
      <c r="N12">
        <v>155</v>
      </c>
      <c r="O12">
        <v>52.7</v>
      </c>
      <c r="P12">
        <v>59</v>
      </c>
      <c r="Q12">
        <v>59.1</v>
      </c>
      <c r="R12">
        <f t="shared" si="0"/>
        <v>220.00000000000028</v>
      </c>
      <c r="S12">
        <f t="shared" si="1"/>
        <v>350</v>
      </c>
      <c r="T12">
        <f t="shared" si="2"/>
        <v>100</v>
      </c>
      <c r="U12">
        <f t="shared" si="3"/>
        <v>130.00000000000043</v>
      </c>
      <c r="V12">
        <f t="shared" si="4"/>
        <v>13000</v>
      </c>
      <c r="W12">
        <f t="shared" si="5"/>
        <v>17000</v>
      </c>
      <c r="X12">
        <f t="shared" si="6"/>
        <v>0</v>
      </c>
      <c r="Y12">
        <f t="shared" si="7"/>
        <v>0</v>
      </c>
      <c r="Z12">
        <f t="shared" si="8"/>
        <v>629.99999999999977</v>
      </c>
      <c r="AA12">
        <f t="shared" si="9"/>
        <v>639.99999999999989</v>
      </c>
    </row>
    <row r="13" spans="1:27" x14ac:dyDescent="0.25">
      <c r="A13">
        <v>12</v>
      </c>
      <c r="B13" t="s">
        <v>65</v>
      </c>
      <c r="C13" t="s">
        <v>63</v>
      </c>
      <c r="D13">
        <v>4</v>
      </c>
      <c r="E13">
        <v>164.6</v>
      </c>
      <c r="F13">
        <v>174.6</v>
      </c>
      <c r="G13">
        <v>177.4</v>
      </c>
      <c r="H13">
        <v>170.8</v>
      </c>
      <c r="I13">
        <v>173.3</v>
      </c>
      <c r="J13">
        <v>632</v>
      </c>
      <c r="K13">
        <v>643</v>
      </c>
      <c r="L13">
        <v>640</v>
      </c>
      <c r="M13">
        <v>611</v>
      </c>
      <c r="N13">
        <v>591</v>
      </c>
      <c r="O13">
        <v>294.89999999999998</v>
      </c>
      <c r="P13">
        <v>334</v>
      </c>
      <c r="Q13">
        <v>334.1</v>
      </c>
      <c r="R13">
        <f t="shared" si="0"/>
        <v>1000</v>
      </c>
      <c r="S13">
        <f t="shared" si="1"/>
        <v>1280.0000000000011</v>
      </c>
      <c r="T13">
        <f t="shared" si="2"/>
        <v>620.00000000000171</v>
      </c>
      <c r="U13">
        <f t="shared" si="3"/>
        <v>870.00000000000171</v>
      </c>
      <c r="V13">
        <f t="shared" si="4"/>
        <v>11000</v>
      </c>
      <c r="W13">
        <f t="shared" si="5"/>
        <v>8000</v>
      </c>
      <c r="X13">
        <f t="shared" si="6"/>
        <v>0</v>
      </c>
      <c r="Y13">
        <f t="shared" si="7"/>
        <v>0</v>
      </c>
      <c r="Z13">
        <f t="shared" si="8"/>
        <v>3910.0000000000023</v>
      </c>
      <c r="AA13">
        <f t="shared" si="9"/>
        <v>3920.0000000000045</v>
      </c>
    </row>
    <row r="14" spans="1:27" x14ac:dyDescent="0.25">
      <c r="A14">
        <v>13</v>
      </c>
      <c r="B14" t="s">
        <v>66</v>
      </c>
      <c r="C14" t="s">
        <v>67</v>
      </c>
      <c r="D14">
        <v>5</v>
      </c>
      <c r="E14">
        <v>199.6</v>
      </c>
      <c r="F14">
        <v>221.3</v>
      </c>
      <c r="G14">
        <v>246.6</v>
      </c>
      <c r="H14">
        <v>206.6</v>
      </c>
      <c r="I14">
        <v>214.3</v>
      </c>
      <c r="J14">
        <v>701</v>
      </c>
      <c r="K14">
        <v>800</v>
      </c>
      <c r="L14">
        <v>857</v>
      </c>
      <c r="M14">
        <v>739</v>
      </c>
      <c r="N14">
        <v>736</v>
      </c>
      <c r="O14">
        <v>830.1</v>
      </c>
      <c r="P14">
        <v>871</v>
      </c>
      <c r="Q14">
        <v>871.6</v>
      </c>
      <c r="R14">
        <f t="shared" si="0"/>
        <v>2170.0000000000018</v>
      </c>
      <c r="S14">
        <f t="shared" si="1"/>
        <v>4700</v>
      </c>
      <c r="T14">
        <f t="shared" si="2"/>
        <v>700</v>
      </c>
      <c r="U14">
        <f t="shared" si="3"/>
        <v>1470.0000000000018</v>
      </c>
      <c r="V14">
        <f t="shared" si="4"/>
        <v>99000</v>
      </c>
      <c r="W14">
        <f t="shared" si="5"/>
        <v>156000</v>
      </c>
      <c r="X14">
        <f t="shared" si="6"/>
        <v>38000</v>
      </c>
      <c r="Y14">
        <f t="shared" si="7"/>
        <v>35000</v>
      </c>
      <c r="Z14">
        <f t="shared" si="8"/>
        <v>4089.9999999999977</v>
      </c>
      <c r="AA14">
        <f t="shared" si="9"/>
        <v>4150</v>
      </c>
    </row>
    <row r="15" spans="1:27" x14ac:dyDescent="0.25">
      <c r="A15">
        <v>14</v>
      </c>
      <c r="B15" t="s">
        <v>68</v>
      </c>
      <c r="C15" t="s">
        <v>67</v>
      </c>
      <c r="D15">
        <v>5</v>
      </c>
      <c r="E15">
        <v>118.3</v>
      </c>
      <c r="F15">
        <v>124.4</v>
      </c>
      <c r="G15">
        <v>126</v>
      </c>
      <c r="H15">
        <v>122.4</v>
      </c>
      <c r="I15">
        <v>125.2</v>
      </c>
      <c r="J15">
        <v>402</v>
      </c>
      <c r="K15">
        <v>400</v>
      </c>
      <c r="L15">
        <v>394</v>
      </c>
      <c r="M15">
        <v>378</v>
      </c>
      <c r="N15">
        <v>368</v>
      </c>
      <c r="O15">
        <v>225.1</v>
      </c>
      <c r="P15">
        <v>262.3</v>
      </c>
      <c r="Q15">
        <v>262.3</v>
      </c>
      <c r="R15">
        <f t="shared" si="0"/>
        <v>610.00000000000091</v>
      </c>
      <c r="S15">
        <f t="shared" si="1"/>
        <v>770.00000000000023</v>
      </c>
      <c r="T15">
        <f t="shared" si="2"/>
        <v>410.00000000000085</v>
      </c>
      <c r="U15">
        <f t="shared" si="3"/>
        <v>690.00000000000057</v>
      </c>
      <c r="V15">
        <f t="shared" si="4"/>
        <v>0</v>
      </c>
      <c r="W15">
        <f t="shared" si="5"/>
        <v>0</v>
      </c>
      <c r="X15">
        <f t="shared" si="6"/>
        <v>0</v>
      </c>
      <c r="Y15">
        <f t="shared" si="7"/>
        <v>0</v>
      </c>
      <c r="Z15">
        <f t="shared" si="8"/>
        <v>3720.0000000000018</v>
      </c>
      <c r="AA15">
        <f t="shared" si="9"/>
        <v>3720.0000000000018</v>
      </c>
    </row>
    <row r="16" spans="1:27" x14ac:dyDescent="0.25">
      <c r="A16">
        <v>15</v>
      </c>
      <c r="B16" t="s">
        <v>69</v>
      </c>
      <c r="C16" t="s">
        <v>67</v>
      </c>
      <c r="D16">
        <v>5</v>
      </c>
      <c r="E16">
        <v>170.7</v>
      </c>
      <c r="F16">
        <v>188.1</v>
      </c>
      <c r="G16">
        <v>200.8</v>
      </c>
      <c r="H16">
        <v>174.4</v>
      </c>
      <c r="I16">
        <v>176.4</v>
      </c>
      <c r="J16">
        <v>744</v>
      </c>
      <c r="K16">
        <v>869</v>
      </c>
      <c r="L16">
        <v>907</v>
      </c>
      <c r="M16">
        <v>794</v>
      </c>
      <c r="N16">
        <v>787</v>
      </c>
      <c r="O16">
        <v>223.8</v>
      </c>
      <c r="P16">
        <v>255.5</v>
      </c>
      <c r="Q16">
        <v>255.8</v>
      </c>
      <c r="R16">
        <f t="shared" si="0"/>
        <v>1740.0000000000005</v>
      </c>
      <c r="S16">
        <f t="shared" si="1"/>
        <v>3010.0000000000023</v>
      </c>
      <c r="T16">
        <f t="shared" si="2"/>
        <v>370.00000000000171</v>
      </c>
      <c r="U16">
        <f t="shared" si="3"/>
        <v>570.00000000000171</v>
      </c>
      <c r="V16">
        <f t="shared" si="4"/>
        <v>125000</v>
      </c>
      <c r="W16">
        <f t="shared" si="5"/>
        <v>163000</v>
      </c>
      <c r="X16">
        <f t="shared" si="6"/>
        <v>50000</v>
      </c>
      <c r="Y16">
        <f t="shared" si="7"/>
        <v>43000</v>
      </c>
      <c r="Z16">
        <f t="shared" si="8"/>
        <v>3169.9999999999991</v>
      </c>
      <c r="AA16">
        <f t="shared" si="9"/>
        <v>3200</v>
      </c>
    </row>
    <row r="17" spans="1:27" x14ac:dyDescent="0.25">
      <c r="A17">
        <v>16</v>
      </c>
      <c r="B17" t="s">
        <v>70</v>
      </c>
      <c r="C17" t="s">
        <v>67</v>
      </c>
      <c r="D17">
        <v>5</v>
      </c>
      <c r="E17">
        <v>73.900000000000006</v>
      </c>
      <c r="F17">
        <v>82</v>
      </c>
      <c r="G17">
        <v>90</v>
      </c>
      <c r="H17">
        <v>77.5</v>
      </c>
      <c r="I17">
        <v>78.3</v>
      </c>
      <c r="J17">
        <v>249</v>
      </c>
      <c r="K17">
        <v>274</v>
      </c>
      <c r="L17">
        <v>290</v>
      </c>
      <c r="M17">
        <v>253</v>
      </c>
      <c r="N17">
        <v>252</v>
      </c>
      <c r="O17">
        <v>62.4</v>
      </c>
      <c r="P17">
        <v>74.2</v>
      </c>
      <c r="Q17">
        <v>74.2</v>
      </c>
      <c r="R17">
        <f t="shared" si="0"/>
        <v>809.99999999999943</v>
      </c>
      <c r="S17">
        <f t="shared" si="1"/>
        <v>1609.9999999999995</v>
      </c>
      <c r="T17">
        <f t="shared" si="2"/>
        <v>359.99999999999943</v>
      </c>
      <c r="U17">
        <f t="shared" si="3"/>
        <v>439.99999999999915</v>
      </c>
      <c r="V17">
        <f t="shared" si="4"/>
        <v>25000</v>
      </c>
      <c r="W17">
        <f t="shared" si="5"/>
        <v>41000</v>
      </c>
      <c r="X17">
        <f t="shared" si="6"/>
        <v>4000</v>
      </c>
      <c r="Y17">
        <f t="shared" si="7"/>
        <v>3000</v>
      </c>
      <c r="Z17">
        <f t="shared" si="8"/>
        <v>1180.0000000000005</v>
      </c>
      <c r="AA17">
        <f t="shared" si="9"/>
        <v>1180.0000000000005</v>
      </c>
    </row>
    <row r="18" spans="1:27" x14ac:dyDescent="0.25">
      <c r="A18">
        <v>17</v>
      </c>
      <c r="B18" t="s">
        <v>71</v>
      </c>
      <c r="C18" t="s">
        <v>71</v>
      </c>
      <c r="D18">
        <v>6</v>
      </c>
      <c r="E18">
        <v>261.3</v>
      </c>
      <c r="F18">
        <v>298.3</v>
      </c>
      <c r="G18">
        <v>337.8</v>
      </c>
      <c r="H18">
        <v>275.8</v>
      </c>
      <c r="I18">
        <v>282.2</v>
      </c>
      <c r="J18">
        <v>1361</v>
      </c>
      <c r="K18">
        <v>1681</v>
      </c>
      <c r="L18">
        <v>1841</v>
      </c>
      <c r="M18">
        <v>1501</v>
      </c>
      <c r="N18">
        <v>1511</v>
      </c>
      <c r="O18">
        <v>282.2</v>
      </c>
      <c r="P18">
        <v>315.7</v>
      </c>
      <c r="Q18">
        <v>316.2</v>
      </c>
      <c r="R18">
        <f t="shared" si="0"/>
        <v>3700</v>
      </c>
      <c r="S18">
        <f t="shared" si="1"/>
        <v>7650</v>
      </c>
      <c r="T18">
        <f t="shared" si="2"/>
        <v>1450</v>
      </c>
      <c r="U18">
        <f t="shared" si="3"/>
        <v>2089.9999999999977</v>
      </c>
      <c r="V18">
        <f t="shared" si="4"/>
        <v>320000</v>
      </c>
      <c r="W18">
        <f t="shared" si="5"/>
        <v>480000</v>
      </c>
      <c r="X18">
        <f t="shared" si="6"/>
        <v>140000</v>
      </c>
      <c r="Y18">
        <f t="shared" si="7"/>
        <v>150000</v>
      </c>
      <c r="Z18">
        <f t="shared" si="8"/>
        <v>3350</v>
      </c>
      <c r="AA18">
        <f t="shared" si="9"/>
        <v>3400</v>
      </c>
    </row>
    <row r="19" spans="1:27" x14ac:dyDescent="0.25">
      <c r="A19">
        <v>18</v>
      </c>
      <c r="B19" t="s">
        <v>72</v>
      </c>
      <c r="C19" t="s">
        <v>73</v>
      </c>
      <c r="D19">
        <v>7</v>
      </c>
      <c r="E19">
        <v>106.3</v>
      </c>
      <c r="F19">
        <v>115.6</v>
      </c>
      <c r="G19">
        <v>121</v>
      </c>
      <c r="H19">
        <v>111.5</v>
      </c>
      <c r="I19">
        <v>116.7</v>
      </c>
      <c r="J19">
        <v>379</v>
      </c>
      <c r="K19">
        <v>408</v>
      </c>
      <c r="L19">
        <v>421</v>
      </c>
      <c r="M19">
        <v>378</v>
      </c>
      <c r="N19">
        <v>373</v>
      </c>
      <c r="O19">
        <v>92.6</v>
      </c>
      <c r="P19">
        <v>116.1</v>
      </c>
      <c r="Q19">
        <v>116.1</v>
      </c>
      <c r="R19">
        <f t="shared" si="0"/>
        <v>929.99999999999977</v>
      </c>
      <c r="S19">
        <f t="shared" si="1"/>
        <v>1470.0000000000002</v>
      </c>
      <c r="T19">
        <f t="shared" si="2"/>
        <v>520.00000000000023</v>
      </c>
      <c r="U19">
        <f t="shared" si="3"/>
        <v>1040.0000000000005</v>
      </c>
      <c r="V19">
        <f t="shared" si="4"/>
        <v>29000</v>
      </c>
      <c r="W19">
        <f t="shared" si="5"/>
        <v>42000</v>
      </c>
      <c r="X19">
        <f t="shared" si="6"/>
        <v>0</v>
      </c>
      <c r="Y19">
        <f t="shared" si="7"/>
        <v>0</v>
      </c>
      <c r="Z19">
        <f t="shared" si="8"/>
        <v>2350</v>
      </c>
      <c r="AA19">
        <f t="shared" si="9"/>
        <v>2350</v>
      </c>
    </row>
    <row r="20" spans="1:27" x14ac:dyDescent="0.25">
      <c r="A20">
        <v>19</v>
      </c>
      <c r="B20" t="s">
        <v>74</v>
      </c>
      <c r="C20" t="s">
        <v>73</v>
      </c>
      <c r="D20">
        <v>7</v>
      </c>
      <c r="E20">
        <v>54.7</v>
      </c>
      <c r="F20">
        <v>61</v>
      </c>
      <c r="G20">
        <v>63.5</v>
      </c>
      <c r="H20">
        <v>56.5</v>
      </c>
      <c r="I20">
        <v>57.5</v>
      </c>
      <c r="J20">
        <v>251</v>
      </c>
      <c r="K20">
        <v>284</v>
      </c>
      <c r="L20">
        <v>302</v>
      </c>
      <c r="M20">
        <v>262</v>
      </c>
      <c r="N20">
        <v>260</v>
      </c>
      <c r="O20">
        <v>57.3</v>
      </c>
      <c r="P20">
        <v>75.5</v>
      </c>
      <c r="Q20">
        <v>75.5</v>
      </c>
      <c r="R20">
        <f t="shared" si="0"/>
        <v>629.99999999999977</v>
      </c>
      <c r="S20">
        <f t="shared" si="1"/>
        <v>879.99999999999977</v>
      </c>
      <c r="T20">
        <f t="shared" si="2"/>
        <v>179.99999999999972</v>
      </c>
      <c r="U20">
        <f t="shared" si="3"/>
        <v>279.99999999999972</v>
      </c>
      <c r="V20">
        <f t="shared" si="4"/>
        <v>33000</v>
      </c>
      <c r="W20">
        <f t="shared" si="5"/>
        <v>51000</v>
      </c>
      <c r="X20">
        <f t="shared" si="6"/>
        <v>11000</v>
      </c>
      <c r="Y20">
        <f t="shared" si="7"/>
        <v>9000</v>
      </c>
      <c r="Z20">
        <f t="shared" si="8"/>
        <v>1820.0000000000002</v>
      </c>
      <c r="AA20">
        <f t="shared" si="9"/>
        <v>1820.0000000000002</v>
      </c>
    </row>
    <row r="21" spans="1:27" x14ac:dyDescent="0.25">
      <c r="A21">
        <v>20</v>
      </c>
      <c r="B21" t="s">
        <v>75</v>
      </c>
      <c r="C21" t="s">
        <v>73</v>
      </c>
      <c r="D21">
        <v>7</v>
      </c>
      <c r="E21">
        <v>42.8</v>
      </c>
      <c r="F21">
        <v>43.9</v>
      </c>
      <c r="G21">
        <v>46</v>
      </c>
      <c r="H21">
        <v>42.7</v>
      </c>
      <c r="I21">
        <v>42.9</v>
      </c>
      <c r="J21">
        <v>199</v>
      </c>
      <c r="K21">
        <v>219</v>
      </c>
      <c r="L21">
        <v>234</v>
      </c>
      <c r="M21">
        <v>203</v>
      </c>
      <c r="N21">
        <v>201</v>
      </c>
      <c r="O21">
        <v>48</v>
      </c>
      <c r="P21">
        <v>61.6</v>
      </c>
      <c r="Q21">
        <v>61.6</v>
      </c>
      <c r="R21">
        <f t="shared" si="0"/>
        <v>110.00000000000014</v>
      </c>
      <c r="S21">
        <f t="shared" si="1"/>
        <v>320.00000000000028</v>
      </c>
      <c r="T21">
        <f t="shared" si="2"/>
        <v>0</v>
      </c>
      <c r="U21">
        <f t="shared" si="3"/>
        <v>10.000000000000142</v>
      </c>
      <c r="V21">
        <f t="shared" si="4"/>
        <v>20000</v>
      </c>
      <c r="W21">
        <f t="shared" si="5"/>
        <v>35000</v>
      </c>
      <c r="X21">
        <f t="shared" si="6"/>
        <v>4000</v>
      </c>
      <c r="Y21">
        <f t="shared" si="7"/>
        <v>2000</v>
      </c>
      <c r="Z21">
        <f t="shared" si="8"/>
        <v>1360.0000000000002</v>
      </c>
      <c r="AA21">
        <f t="shared" si="9"/>
        <v>1360.0000000000002</v>
      </c>
    </row>
    <row r="22" spans="1:27" x14ac:dyDescent="0.25">
      <c r="A22">
        <v>21</v>
      </c>
      <c r="B22" t="s">
        <v>76</v>
      </c>
      <c r="C22" t="s">
        <v>73</v>
      </c>
      <c r="D22">
        <v>7</v>
      </c>
      <c r="E22">
        <v>33.700000000000003</v>
      </c>
      <c r="F22">
        <v>35.4</v>
      </c>
      <c r="G22">
        <v>37.200000000000003</v>
      </c>
      <c r="H22">
        <v>34.5</v>
      </c>
      <c r="I22">
        <v>34.5</v>
      </c>
      <c r="J22">
        <v>231</v>
      </c>
      <c r="K22">
        <v>271</v>
      </c>
      <c r="L22">
        <v>282</v>
      </c>
      <c r="M22">
        <v>258</v>
      </c>
      <c r="N22">
        <v>261</v>
      </c>
      <c r="O22">
        <v>54.9</v>
      </c>
      <c r="P22">
        <v>59.7</v>
      </c>
      <c r="Q22">
        <v>59.7</v>
      </c>
      <c r="R22">
        <f t="shared" si="0"/>
        <v>169.99999999999957</v>
      </c>
      <c r="S22">
        <f t="shared" si="1"/>
        <v>350</v>
      </c>
      <c r="T22">
        <f t="shared" si="2"/>
        <v>79.999999999999716</v>
      </c>
      <c r="U22">
        <f t="shared" si="3"/>
        <v>79.999999999999716</v>
      </c>
      <c r="V22">
        <f t="shared" si="4"/>
        <v>40000</v>
      </c>
      <c r="W22">
        <f t="shared" si="5"/>
        <v>51000</v>
      </c>
      <c r="X22">
        <f t="shared" si="6"/>
        <v>27000</v>
      </c>
      <c r="Y22">
        <f t="shared" si="7"/>
        <v>30000</v>
      </c>
      <c r="Z22">
        <f t="shared" si="8"/>
        <v>480.00000000000045</v>
      </c>
      <c r="AA22">
        <f t="shared" si="9"/>
        <v>480.00000000000045</v>
      </c>
    </row>
    <row r="23" spans="1:27" x14ac:dyDescent="0.25">
      <c r="A23">
        <v>22</v>
      </c>
      <c r="B23" t="s">
        <v>77</v>
      </c>
      <c r="C23" t="s">
        <v>73</v>
      </c>
      <c r="D23">
        <v>7</v>
      </c>
      <c r="E23">
        <v>28.1</v>
      </c>
      <c r="F23">
        <v>32.1</v>
      </c>
      <c r="G23">
        <v>33.6</v>
      </c>
      <c r="H23">
        <v>30</v>
      </c>
      <c r="I23">
        <v>30.3</v>
      </c>
      <c r="J23">
        <v>173</v>
      </c>
      <c r="K23">
        <v>226</v>
      </c>
      <c r="L23">
        <v>233</v>
      </c>
      <c r="M23">
        <v>200</v>
      </c>
      <c r="N23">
        <v>203</v>
      </c>
      <c r="O23">
        <v>6.5</v>
      </c>
      <c r="P23">
        <v>24.5</v>
      </c>
      <c r="Q23">
        <v>24.5</v>
      </c>
      <c r="R23">
        <f t="shared" si="0"/>
        <v>400</v>
      </c>
      <c r="S23">
        <f t="shared" si="1"/>
        <v>550</v>
      </c>
      <c r="T23">
        <f t="shared" si="2"/>
        <v>189.99999999999986</v>
      </c>
      <c r="U23">
        <f t="shared" si="3"/>
        <v>219.99999999999994</v>
      </c>
      <c r="V23">
        <f t="shared" si="4"/>
        <v>53000</v>
      </c>
      <c r="W23">
        <f t="shared" si="5"/>
        <v>60000</v>
      </c>
      <c r="X23">
        <f t="shared" si="6"/>
        <v>27000</v>
      </c>
      <c r="Y23">
        <f t="shared" si="7"/>
        <v>30000</v>
      </c>
      <c r="Z23">
        <f t="shared" si="8"/>
        <v>1800</v>
      </c>
      <c r="AA23">
        <f t="shared" si="9"/>
        <v>1800</v>
      </c>
    </row>
    <row r="24" spans="1:27" x14ac:dyDescent="0.25">
      <c r="A24">
        <v>23</v>
      </c>
      <c r="B24" t="s">
        <v>78</v>
      </c>
      <c r="C24" t="s">
        <v>73</v>
      </c>
      <c r="D24">
        <v>7</v>
      </c>
      <c r="E24">
        <v>188</v>
      </c>
      <c r="F24">
        <v>213.3</v>
      </c>
      <c r="G24">
        <v>229.9</v>
      </c>
      <c r="H24">
        <v>201.1</v>
      </c>
      <c r="I24">
        <v>204.3</v>
      </c>
      <c r="J24">
        <v>1396</v>
      </c>
      <c r="K24">
        <v>1818</v>
      </c>
      <c r="L24">
        <v>1952</v>
      </c>
      <c r="M24">
        <v>1668</v>
      </c>
      <c r="N24">
        <v>1701</v>
      </c>
      <c r="O24">
        <v>35.9</v>
      </c>
      <c r="P24">
        <v>87.6</v>
      </c>
      <c r="Q24">
        <v>87.6</v>
      </c>
      <c r="R24">
        <f t="shared" si="0"/>
        <v>2530.0000000000009</v>
      </c>
      <c r="S24">
        <f t="shared" si="1"/>
        <v>4190.0000000000009</v>
      </c>
      <c r="T24">
        <f t="shared" si="2"/>
        <v>1309.9999999999995</v>
      </c>
      <c r="U24">
        <f t="shared" si="3"/>
        <v>1630.0000000000011</v>
      </c>
      <c r="V24">
        <f t="shared" si="4"/>
        <v>422000</v>
      </c>
      <c r="W24">
        <f t="shared" si="5"/>
        <v>556000</v>
      </c>
      <c r="X24">
        <f t="shared" si="6"/>
        <v>272000</v>
      </c>
      <c r="Y24">
        <f t="shared" si="7"/>
        <v>305000</v>
      </c>
      <c r="Z24">
        <f t="shared" si="8"/>
        <v>5170</v>
      </c>
      <c r="AA24">
        <f t="shared" si="9"/>
        <v>5170</v>
      </c>
    </row>
    <row r="25" spans="1:27" x14ac:dyDescent="0.25">
      <c r="A25">
        <v>24</v>
      </c>
      <c r="B25" t="s">
        <v>79</v>
      </c>
      <c r="C25" t="s">
        <v>73</v>
      </c>
      <c r="D25">
        <v>7</v>
      </c>
      <c r="E25">
        <v>53.9</v>
      </c>
      <c r="F25">
        <v>60.4</v>
      </c>
      <c r="G25">
        <v>63.7</v>
      </c>
      <c r="H25">
        <v>54.9</v>
      </c>
      <c r="I25">
        <v>56</v>
      </c>
      <c r="J25">
        <v>259</v>
      </c>
      <c r="K25">
        <v>301</v>
      </c>
      <c r="L25">
        <v>313</v>
      </c>
      <c r="M25">
        <v>270</v>
      </c>
      <c r="N25">
        <v>270</v>
      </c>
      <c r="O25">
        <v>68.2</v>
      </c>
      <c r="P25">
        <v>83.2</v>
      </c>
      <c r="Q25">
        <v>83.3</v>
      </c>
      <c r="R25">
        <f t="shared" si="0"/>
        <v>650</v>
      </c>
      <c r="S25">
        <f t="shared" si="1"/>
        <v>980.00000000000045</v>
      </c>
      <c r="T25">
        <f t="shared" si="2"/>
        <v>100</v>
      </c>
      <c r="U25">
        <f t="shared" si="3"/>
        <v>210.00000000000014</v>
      </c>
      <c r="V25">
        <f t="shared" si="4"/>
        <v>42000</v>
      </c>
      <c r="W25">
        <f t="shared" si="5"/>
        <v>54000</v>
      </c>
      <c r="X25">
        <f t="shared" si="6"/>
        <v>11000</v>
      </c>
      <c r="Y25">
        <f t="shared" si="7"/>
        <v>11000</v>
      </c>
      <c r="Z25">
        <f t="shared" si="8"/>
        <v>1500</v>
      </c>
      <c r="AA25">
        <f t="shared" si="9"/>
        <v>1509.9999999999995</v>
      </c>
    </row>
    <row r="26" spans="1:27" x14ac:dyDescent="0.25">
      <c r="A26">
        <v>25</v>
      </c>
      <c r="B26" t="s">
        <v>80</v>
      </c>
      <c r="C26" t="s">
        <v>81</v>
      </c>
      <c r="D26">
        <v>8</v>
      </c>
      <c r="E26">
        <v>72</v>
      </c>
      <c r="F26">
        <v>82.7</v>
      </c>
      <c r="G26">
        <v>100.1</v>
      </c>
      <c r="H26">
        <v>75.2</v>
      </c>
      <c r="I26">
        <v>77.5</v>
      </c>
      <c r="J26">
        <v>432</v>
      </c>
      <c r="K26">
        <v>495</v>
      </c>
      <c r="L26">
        <v>536</v>
      </c>
      <c r="M26">
        <v>448</v>
      </c>
      <c r="N26">
        <v>442</v>
      </c>
      <c r="O26">
        <v>36.299999999999997</v>
      </c>
      <c r="P26">
        <v>42.5</v>
      </c>
      <c r="Q26">
        <v>42.5</v>
      </c>
      <c r="R26">
        <f t="shared" si="0"/>
        <v>1070.0000000000002</v>
      </c>
      <c r="S26">
        <f t="shared" si="1"/>
        <v>2809.9999999999995</v>
      </c>
      <c r="T26">
        <f t="shared" si="2"/>
        <v>320.00000000000028</v>
      </c>
      <c r="U26">
        <f t="shared" si="3"/>
        <v>550</v>
      </c>
      <c r="V26">
        <f t="shared" si="4"/>
        <v>63000</v>
      </c>
      <c r="W26">
        <f t="shared" si="5"/>
        <v>104000</v>
      </c>
      <c r="X26">
        <f t="shared" si="6"/>
        <v>16000</v>
      </c>
      <c r="Y26">
        <f t="shared" si="7"/>
        <v>10000</v>
      </c>
      <c r="Z26">
        <f t="shared" si="8"/>
        <v>620.00000000000023</v>
      </c>
      <c r="AA26">
        <f t="shared" si="9"/>
        <v>620.00000000000023</v>
      </c>
    </row>
    <row r="27" spans="1:27" x14ac:dyDescent="0.25">
      <c r="A27">
        <v>26</v>
      </c>
      <c r="B27" t="s">
        <v>82</v>
      </c>
      <c r="C27" t="s">
        <v>81</v>
      </c>
      <c r="D27">
        <v>8</v>
      </c>
      <c r="E27">
        <v>102</v>
      </c>
      <c r="F27">
        <v>115.8</v>
      </c>
      <c r="G27">
        <v>115.9</v>
      </c>
      <c r="H27">
        <v>107.5</v>
      </c>
      <c r="I27">
        <v>111.2</v>
      </c>
      <c r="J27">
        <v>886</v>
      </c>
      <c r="K27">
        <v>1089</v>
      </c>
      <c r="L27">
        <v>1130</v>
      </c>
      <c r="M27">
        <v>1030</v>
      </c>
      <c r="N27">
        <v>1048</v>
      </c>
      <c r="O27">
        <v>50</v>
      </c>
      <c r="P27">
        <v>55.1</v>
      </c>
      <c r="Q27">
        <v>55.1</v>
      </c>
      <c r="R27">
        <f t="shared" si="0"/>
        <v>1379.9999999999998</v>
      </c>
      <c r="S27">
        <f t="shared" si="1"/>
        <v>1390.0000000000005</v>
      </c>
      <c r="T27">
        <f t="shared" si="2"/>
        <v>550</v>
      </c>
      <c r="U27">
        <f t="shared" si="3"/>
        <v>920.00000000000023</v>
      </c>
      <c r="V27">
        <f t="shared" si="4"/>
        <v>203000</v>
      </c>
      <c r="W27">
        <f t="shared" si="5"/>
        <v>244000</v>
      </c>
      <c r="X27">
        <f t="shared" si="6"/>
        <v>144000</v>
      </c>
      <c r="Y27">
        <f t="shared" si="7"/>
        <v>162000</v>
      </c>
      <c r="Z27">
        <f t="shared" si="8"/>
        <v>510.00000000000011</v>
      </c>
      <c r="AA27">
        <f t="shared" si="9"/>
        <v>510.00000000000011</v>
      </c>
    </row>
    <row r="28" spans="1:27" x14ac:dyDescent="0.25">
      <c r="A28">
        <v>27</v>
      </c>
      <c r="B28" t="s">
        <v>83</v>
      </c>
      <c r="C28" t="s">
        <v>81</v>
      </c>
      <c r="D28">
        <v>8</v>
      </c>
      <c r="E28">
        <v>43</v>
      </c>
      <c r="F28">
        <v>55.4</v>
      </c>
      <c r="G28">
        <v>68.3</v>
      </c>
      <c r="H28">
        <v>49.4</v>
      </c>
      <c r="I28">
        <v>54.7</v>
      </c>
      <c r="J28">
        <v>234</v>
      </c>
      <c r="K28">
        <v>301</v>
      </c>
      <c r="L28">
        <v>338</v>
      </c>
      <c r="M28">
        <v>270</v>
      </c>
      <c r="N28">
        <v>277</v>
      </c>
      <c r="O28">
        <v>9.5</v>
      </c>
      <c r="P28">
        <v>11.7</v>
      </c>
      <c r="Q28">
        <v>11.7</v>
      </c>
      <c r="R28">
        <f t="shared" si="0"/>
        <v>1239.9999999999998</v>
      </c>
      <c r="S28">
        <f t="shared" si="1"/>
        <v>2529.9999999999995</v>
      </c>
      <c r="T28">
        <f t="shared" si="2"/>
        <v>639.99999999999989</v>
      </c>
      <c r="U28">
        <f t="shared" si="3"/>
        <v>1170.0000000000002</v>
      </c>
      <c r="V28">
        <f t="shared" si="4"/>
        <v>67000</v>
      </c>
      <c r="W28">
        <f t="shared" si="5"/>
        <v>104000</v>
      </c>
      <c r="X28">
        <f t="shared" si="6"/>
        <v>36000</v>
      </c>
      <c r="Y28">
        <f t="shared" si="7"/>
        <v>43000</v>
      </c>
      <c r="Z28">
        <f t="shared" si="8"/>
        <v>219.99999999999994</v>
      </c>
      <c r="AA28">
        <f t="shared" si="9"/>
        <v>219.99999999999994</v>
      </c>
    </row>
    <row r="29" spans="1:27" x14ac:dyDescent="0.25">
      <c r="A29">
        <v>28</v>
      </c>
      <c r="B29" t="s">
        <v>84</v>
      </c>
      <c r="C29" t="s">
        <v>81</v>
      </c>
      <c r="D29">
        <v>8</v>
      </c>
      <c r="E29">
        <v>63.7</v>
      </c>
      <c r="F29">
        <v>71</v>
      </c>
      <c r="G29">
        <v>81.099999999999994</v>
      </c>
      <c r="H29">
        <v>67.2</v>
      </c>
      <c r="I29">
        <v>69.599999999999994</v>
      </c>
      <c r="J29">
        <v>338</v>
      </c>
      <c r="K29">
        <v>384</v>
      </c>
      <c r="L29">
        <v>416</v>
      </c>
      <c r="M29">
        <v>353</v>
      </c>
      <c r="N29">
        <v>353</v>
      </c>
      <c r="O29">
        <v>51.4</v>
      </c>
      <c r="P29">
        <v>77.3</v>
      </c>
      <c r="Q29">
        <v>77.3</v>
      </c>
      <c r="R29">
        <f t="shared" si="0"/>
        <v>729.99999999999977</v>
      </c>
      <c r="S29">
        <f t="shared" si="1"/>
        <v>1739.9999999999991</v>
      </c>
      <c r="T29">
        <f t="shared" si="2"/>
        <v>350</v>
      </c>
      <c r="U29">
        <f t="shared" si="3"/>
        <v>589.99999999999909</v>
      </c>
      <c r="V29">
        <f t="shared" si="4"/>
        <v>46000</v>
      </c>
      <c r="W29">
        <f t="shared" si="5"/>
        <v>78000</v>
      </c>
      <c r="X29">
        <f t="shared" si="6"/>
        <v>15000</v>
      </c>
      <c r="Y29">
        <f t="shared" si="7"/>
        <v>15000</v>
      </c>
      <c r="Z29">
        <f t="shared" si="8"/>
        <v>2590</v>
      </c>
      <c r="AA29">
        <f t="shared" si="9"/>
        <v>2590</v>
      </c>
    </row>
    <row r="30" spans="1:27" x14ac:dyDescent="0.25">
      <c r="A30">
        <v>29</v>
      </c>
      <c r="B30" t="s">
        <v>85</v>
      </c>
      <c r="C30" t="s">
        <v>81</v>
      </c>
      <c r="D30">
        <v>8</v>
      </c>
      <c r="E30">
        <v>281.3</v>
      </c>
      <c r="F30">
        <v>308.2</v>
      </c>
      <c r="G30">
        <v>333.5</v>
      </c>
      <c r="H30">
        <v>293.10000000000002</v>
      </c>
      <c r="I30">
        <v>302.89999999999998</v>
      </c>
      <c r="J30">
        <v>1461</v>
      </c>
      <c r="K30">
        <v>1700</v>
      </c>
      <c r="L30">
        <v>1777</v>
      </c>
      <c r="M30">
        <v>1587</v>
      </c>
      <c r="N30">
        <v>1588</v>
      </c>
      <c r="O30">
        <v>147.19999999999999</v>
      </c>
      <c r="P30">
        <v>194</v>
      </c>
      <c r="Q30">
        <v>194</v>
      </c>
      <c r="R30">
        <f t="shared" si="0"/>
        <v>2689.9999999999977</v>
      </c>
      <c r="S30">
        <f t="shared" si="1"/>
        <v>5219.9999999999991</v>
      </c>
      <c r="T30">
        <f t="shared" si="2"/>
        <v>1180.0000000000011</v>
      </c>
      <c r="U30">
        <f t="shared" si="3"/>
        <v>2159.9999999999964</v>
      </c>
      <c r="V30">
        <f t="shared" si="4"/>
        <v>239000</v>
      </c>
      <c r="W30">
        <f t="shared" si="5"/>
        <v>316000</v>
      </c>
      <c r="X30">
        <f t="shared" si="6"/>
        <v>126000</v>
      </c>
      <c r="Y30">
        <f t="shared" si="7"/>
        <v>127000</v>
      </c>
      <c r="Z30">
        <f t="shared" si="8"/>
        <v>4680.0000000000009</v>
      </c>
      <c r="AA30">
        <f t="shared" si="9"/>
        <v>4680.0000000000009</v>
      </c>
    </row>
    <row r="31" spans="1:27" x14ac:dyDescent="0.25">
      <c r="A31">
        <v>30</v>
      </c>
      <c r="B31" t="s">
        <v>86</v>
      </c>
      <c r="C31" t="s">
        <v>81</v>
      </c>
      <c r="D31">
        <v>8</v>
      </c>
      <c r="E31">
        <v>71.7</v>
      </c>
      <c r="F31">
        <v>78</v>
      </c>
      <c r="G31">
        <v>83.9</v>
      </c>
      <c r="H31">
        <v>74</v>
      </c>
      <c r="I31">
        <v>74.7</v>
      </c>
      <c r="J31">
        <v>373</v>
      </c>
      <c r="K31">
        <v>411</v>
      </c>
      <c r="L31">
        <v>431</v>
      </c>
      <c r="M31">
        <v>380</v>
      </c>
      <c r="N31">
        <v>375</v>
      </c>
      <c r="O31">
        <v>39.5</v>
      </c>
      <c r="P31">
        <v>47.3</v>
      </c>
      <c r="Q31">
        <v>47.3</v>
      </c>
      <c r="R31">
        <f t="shared" si="0"/>
        <v>629.99999999999977</v>
      </c>
      <c r="S31">
        <f t="shared" si="1"/>
        <v>1220.0000000000002</v>
      </c>
      <c r="T31">
        <f t="shared" si="2"/>
        <v>229.99999999999972</v>
      </c>
      <c r="U31">
        <f t="shared" si="3"/>
        <v>300</v>
      </c>
      <c r="V31">
        <f t="shared" si="4"/>
        <v>38000</v>
      </c>
      <c r="W31">
        <f t="shared" si="5"/>
        <v>58000</v>
      </c>
      <c r="X31">
        <f t="shared" si="6"/>
        <v>7000</v>
      </c>
      <c r="Y31">
        <f t="shared" si="7"/>
        <v>2000</v>
      </c>
      <c r="Z31">
        <f t="shared" si="8"/>
        <v>779.99999999999977</v>
      </c>
      <c r="AA31">
        <f t="shared" si="9"/>
        <v>779.99999999999977</v>
      </c>
    </row>
    <row r="32" spans="1:27" x14ac:dyDescent="0.25">
      <c r="A32">
        <v>31</v>
      </c>
      <c r="B32" t="s">
        <v>87</v>
      </c>
      <c r="C32" t="s">
        <v>88</v>
      </c>
      <c r="D32">
        <v>9</v>
      </c>
      <c r="E32">
        <v>48.6</v>
      </c>
      <c r="F32">
        <v>50.6</v>
      </c>
      <c r="G32">
        <v>52.2</v>
      </c>
      <c r="H32">
        <v>49.5</v>
      </c>
      <c r="I32">
        <v>52.8</v>
      </c>
      <c r="J32">
        <v>105</v>
      </c>
      <c r="K32">
        <v>107</v>
      </c>
      <c r="L32">
        <v>107</v>
      </c>
      <c r="M32">
        <v>97</v>
      </c>
      <c r="N32">
        <v>92</v>
      </c>
      <c r="O32">
        <v>89.9</v>
      </c>
      <c r="P32">
        <v>111.3</v>
      </c>
      <c r="Q32">
        <v>111.3</v>
      </c>
      <c r="R32">
        <f t="shared" si="0"/>
        <v>200</v>
      </c>
      <c r="S32">
        <f t="shared" si="1"/>
        <v>360.00000000000011</v>
      </c>
      <c r="T32">
        <f t="shared" si="2"/>
        <v>89.999999999999858</v>
      </c>
      <c r="U32">
        <f t="shared" si="3"/>
        <v>419.99999999999955</v>
      </c>
      <c r="V32">
        <f t="shared" si="4"/>
        <v>2000</v>
      </c>
      <c r="W32">
        <f t="shared" si="5"/>
        <v>2000</v>
      </c>
      <c r="X32">
        <f t="shared" si="6"/>
        <v>0</v>
      </c>
      <c r="Y32">
        <f t="shared" si="7"/>
        <v>0</v>
      </c>
      <c r="Z32">
        <f t="shared" si="8"/>
        <v>2139.9999999999991</v>
      </c>
      <c r="AA32">
        <f t="shared" si="9"/>
        <v>2139.9999999999991</v>
      </c>
    </row>
    <row r="33" spans="1:27" x14ac:dyDescent="0.25">
      <c r="A33">
        <v>32</v>
      </c>
      <c r="B33" t="s">
        <v>89</v>
      </c>
      <c r="C33" t="s">
        <v>88</v>
      </c>
      <c r="D33">
        <v>9</v>
      </c>
      <c r="E33">
        <v>109.4</v>
      </c>
      <c r="F33">
        <v>113.9</v>
      </c>
      <c r="G33">
        <v>115.4</v>
      </c>
      <c r="H33">
        <v>112.1</v>
      </c>
      <c r="I33">
        <v>115</v>
      </c>
      <c r="J33">
        <v>280</v>
      </c>
      <c r="K33">
        <v>297</v>
      </c>
      <c r="L33">
        <v>297</v>
      </c>
      <c r="M33">
        <v>276</v>
      </c>
      <c r="N33">
        <v>270</v>
      </c>
      <c r="O33">
        <v>141.6</v>
      </c>
      <c r="P33">
        <v>161.80000000000001</v>
      </c>
      <c r="Q33">
        <v>161.80000000000001</v>
      </c>
      <c r="R33">
        <f t="shared" si="0"/>
        <v>450</v>
      </c>
      <c r="S33">
        <f t="shared" si="1"/>
        <v>600</v>
      </c>
      <c r="T33">
        <f t="shared" si="2"/>
        <v>269.99999999999886</v>
      </c>
      <c r="U33">
        <f t="shared" si="3"/>
        <v>559.99999999999943</v>
      </c>
      <c r="V33">
        <f t="shared" si="4"/>
        <v>17000</v>
      </c>
      <c r="W33">
        <f t="shared" si="5"/>
        <v>17000</v>
      </c>
      <c r="X33">
        <f t="shared" si="6"/>
        <v>0</v>
      </c>
      <c r="Y33">
        <f t="shared" si="7"/>
        <v>0</v>
      </c>
      <c r="Z33">
        <f t="shared" si="8"/>
        <v>2020.0000000000018</v>
      </c>
      <c r="AA33">
        <f t="shared" si="9"/>
        <v>2020.0000000000018</v>
      </c>
    </row>
    <row r="34" spans="1:27" x14ac:dyDescent="0.25">
      <c r="A34">
        <v>33</v>
      </c>
      <c r="B34" t="s">
        <v>90</v>
      </c>
      <c r="C34" t="s">
        <v>91</v>
      </c>
      <c r="D34">
        <v>10</v>
      </c>
      <c r="E34">
        <v>178.7</v>
      </c>
      <c r="F34">
        <v>194.6</v>
      </c>
      <c r="G34">
        <v>208</v>
      </c>
      <c r="H34">
        <v>186</v>
      </c>
      <c r="I34">
        <v>186.4</v>
      </c>
      <c r="J34">
        <v>637</v>
      </c>
      <c r="K34">
        <v>705</v>
      </c>
      <c r="L34">
        <v>735</v>
      </c>
      <c r="M34">
        <v>640</v>
      </c>
      <c r="N34">
        <v>634</v>
      </c>
      <c r="O34">
        <v>209.8</v>
      </c>
      <c r="P34">
        <v>241.2</v>
      </c>
      <c r="Q34">
        <v>241.2</v>
      </c>
      <c r="R34">
        <f t="shared" si="0"/>
        <v>1590.0000000000005</v>
      </c>
      <c r="S34">
        <f t="shared" si="1"/>
        <v>2930.0000000000009</v>
      </c>
      <c r="T34">
        <f t="shared" si="2"/>
        <v>730.00000000000114</v>
      </c>
      <c r="U34">
        <f t="shared" si="3"/>
        <v>770.00000000000171</v>
      </c>
      <c r="V34">
        <f t="shared" si="4"/>
        <v>68000</v>
      </c>
      <c r="W34">
        <f t="shared" si="5"/>
        <v>98000</v>
      </c>
      <c r="X34">
        <f t="shared" si="6"/>
        <v>3000</v>
      </c>
      <c r="Y34">
        <f t="shared" si="7"/>
        <v>0</v>
      </c>
      <c r="Z34">
        <f t="shared" si="8"/>
        <v>3139.9999999999977</v>
      </c>
      <c r="AA34">
        <f t="shared" si="9"/>
        <v>3139.9999999999977</v>
      </c>
    </row>
    <row r="35" spans="1:27" x14ac:dyDescent="0.25">
      <c r="A35">
        <v>34</v>
      </c>
      <c r="B35" t="s">
        <v>92</v>
      </c>
      <c r="C35" t="s">
        <v>91</v>
      </c>
      <c r="D35">
        <v>10</v>
      </c>
      <c r="E35">
        <v>128.69999999999999</v>
      </c>
      <c r="F35">
        <v>148.9</v>
      </c>
      <c r="G35">
        <v>158.1</v>
      </c>
      <c r="H35">
        <v>135</v>
      </c>
      <c r="I35">
        <v>139.30000000000001</v>
      </c>
      <c r="J35">
        <v>493</v>
      </c>
      <c r="K35">
        <v>589</v>
      </c>
      <c r="L35">
        <v>628</v>
      </c>
      <c r="M35">
        <v>526</v>
      </c>
      <c r="N35">
        <v>532</v>
      </c>
      <c r="O35">
        <v>211.4</v>
      </c>
      <c r="P35">
        <v>242.8</v>
      </c>
      <c r="Q35">
        <v>242.8</v>
      </c>
      <c r="R35">
        <f t="shared" si="0"/>
        <v>2020.0000000000018</v>
      </c>
      <c r="S35">
        <f t="shared" si="1"/>
        <v>2940.0000000000005</v>
      </c>
      <c r="T35">
        <f t="shared" si="2"/>
        <v>630.00000000000114</v>
      </c>
      <c r="U35">
        <f t="shared" si="3"/>
        <v>1060.0000000000023</v>
      </c>
      <c r="V35">
        <f t="shared" si="4"/>
        <v>96000</v>
      </c>
      <c r="W35">
        <f t="shared" si="5"/>
        <v>135000</v>
      </c>
      <c r="X35">
        <f t="shared" si="6"/>
        <v>33000</v>
      </c>
      <c r="Y35">
        <f t="shared" si="7"/>
        <v>39000</v>
      </c>
      <c r="Z35">
        <f t="shared" si="8"/>
        <v>3140.0000000000005</v>
      </c>
      <c r="AA35">
        <f t="shared" si="9"/>
        <v>3140.0000000000005</v>
      </c>
    </row>
    <row r="36" spans="1:27" x14ac:dyDescent="0.25">
      <c r="A36">
        <v>35</v>
      </c>
      <c r="B36" t="s">
        <v>93</v>
      </c>
      <c r="C36" t="s">
        <v>91</v>
      </c>
      <c r="D36">
        <v>10</v>
      </c>
      <c r="E36">
        <v>178.5</v>
      </c>
      <c r="F36">
        <v>196.2</v>
      </c>
      <c r="G36">
        <v>207.4</v>
      </c>
      <c r="H36">
        <v>184.7</v>
      </c>
      <c r="I36">
        <v>187.5</v>
      </c>
      <c r="J36">
        <v>661</v>
      </c>
      <c r="K36">
        <v>730</v>
      </c>
      <c r="L36">
        <v>758</v>
      </c>
      <c r="M36">
        <v>665</v>
      </c>
      <c r="N36">
        <v>654</v>
      </c>
      <c r="O36">
        <v>237</v>
      </c>
      <c r="P36">
        <v>281.3</v>
      </c>
      <c r="Q36">
        <v>281.3</v>
      </c>
      <c r="R36">
        <f t="shared" si="0"/>
        <v>1769.9999999999989</v>
      </c>
      <c r="S36">
        <f t="shared" si="1"/>
        <v>2890.0000000000005</v>
      </c>
      <c r="T36">
        <f t="shared" si="2"/>
        <v>619.99999999999886</v>
      </c>
      <c r="U36">
        <f t="shared" si="3"/>
        <v>900</v>
      </c>
      <c r="V36">
        <f t="shared" si="4"/>
        <v>69000</v>
      </c>
      <c r="W36">
        <f t="shared" si="5"/>
        <v>97000</v>
      </c>
      <c r="X36">
        <f t="shared" si="6"/>
        <v>4000</v>
      </c>
      <c r="Y36">
        <f t="shared" si="7"/>
        <v>0</v>
      </c>
      <c r="Z36">
        <f t="shared" si="8"/>
        <v>4430.0000000000009</v>
      </c>
      <c r="AA36">
        <f t="shared" si="9"/>
        <v>4430.0000000000009</v>
      </c>
    </row>
    <row r="37" spans="1:27" x14ac:dyDescent="0.25">
      <c r="A37">
        <v>36</v>
      </c>
      <c r="B37" t="s">
        <v>94</v>
      </c>
      <c r="C37" t="s">
        <v>91</v>
      </c>
      <c r="D37">
        <v>10</v>
      </c>
      <c r="E37">
        <v>213.8</v>
      </c>
      <c r="F37">
        <v>240.1</v>
      </c>
      <c r="G37">
        <v>254.2</v>
      </c>
      <c r="H37">
        <v>223.8</v>
      </c>
      <c r="I37">
        <v>228.2</v>
      </c>
      <c r="J37">
        <v>784</v>
      </c>
      <c r="K37">
        <v>911</v>
      </c>
      <c r="L37">
        <v>954</v>
      </c>
      <c r="M37">
        <v>815</v>
      </c>
      <c r="N37">
        <v>809</v>
      </c>
      <c r="O37">
        <v>427.2</v>
      </c>
      <c r="P37">
        <v>484.1</v>
      </c>
      <c r="Q37">
        <v>484.2</v>
      </c>
      <c r="R37">
        <f t="shared" si="0"/>
        <v>2629.9999999999982</v>
      </c>
      <c r="S37">
        <f t="shared" si="1"/>
        <v>4039.9999999999977</v>
      </c>
      <c r="T37">
        <f t="shared" si="2"/>
        <v>1000</v>
      </c>
      <c r="U37">
        <f t="shared" si="3"/>
        <v>1439.9999999999977</v>
      </c>
      <c r="V37">
        <f t="shared" si="4"/>
        <v>127000</v>
      </c>
      <c r="W37">
        <f t="shared" si="5"/>
        <v>170000</v>
      </c>
      <c r="X37">
        <f t="shared" si="6"/>
        <v>31000</v>
      </c>
      <c r="Y37">
        <f t="shared" si="7"/>
        <v>25000</v>
      </c>
      <c r="Z37">
        <f t="shared" si="8"/>
        <v>5690.0000000000036</v>
      </c>
      <c r="AA37">
        <f t="shared" si="9"/>
        <v>5700</v>
      </c>
    </row>
    <row r="38" spans="1:27" x14ac:dyDescent="0.25">
      <c r="A38">
        <v>37</v>
      </c>
      <c r="B38" t="s">
        <v>95</v>
      </c>
      <c r="C38" t="s">
        <v>96</v>
      </c>
      <c r="D38">
        <v>11</v>
      </c>
      <c r="E38">
        <v>97.7</v>
      </c>
      <c r="F38">
        <v>102.4</v>
      </c>
      <c r="G38">
        <v>104.1</v>
      </c>
      <c r="H38">
        <v>100.1</v>
      </c>
      <c r="I38">
        <v>101.1</v>
      </c>
      <c r="J38">
        <v>283</v>
      </c>
      <c r="K38">
        <v>297</v>
      </c>
      <c r="L38">
        <v>296</v>
      </c>
      <c r="M38">
        <v>278</v>
      </c>
      <c r="N38">
        <v>270</v>
      </c>
      <c r="O38">
        <v>210.6</v>
      </c>
      <c r="P38">
        <v>228.1</v>
      </c>
      <c r="Q38">
        <v>228.1</v>
      </c>
      <c r="R38">
        <f t="shared" si="0"/>
        <v>470.00000000000028</v>
      </c>
      <c r="S38">
        <f t="shared" si="1"/>
        <v>639.99999999999909</v>
      </c>
      <c r="T38">
        <f t="shared" si="2"/>
        <v>239.99999999999915</v>
      </c>
      <c r="U38">
        <f t="shared" si="3"/>
        <v>339.99999999999915</v>
      </c>
      <c r="V38">
        <f t="shared" si="4"/>
        <v>14000</v>
      </c>
      <c r="W38">
        <f t="shared" si="5"/>
        <v>13000</v>
      </c>
      <c r="X38">
        <f t="shared" si="6"/>
        <v>0</v>
      </c>
      <c r="Y38">
        <f t="shared" si="7"/>
        <v>0</v>
      </c>
      <c r="Z38">
        <f t="shared" si="8"/>
        <v>1750</v>
      </c>
      <c r="AA38">
        <f t="shared" si="9"/>
        <v>1750</v>
      </c>
    </row>
    <row r="39" spans="1:27" x14ac:dyDescent="0.25">
      <c r="A39">
        <v>38</v>
      </c>
      <c r="B39" t="s">
        <v>97</v>
      </c>
      <c r="C39" t="s">
        <v>96</v>
      </c>
      <c r="D39">
        <v>11</v>
      </c>
      <c r="E39">
        <v>81.8</v>
      </c>
      <c r="F39">
        <v>86.2</v>
      </c>
      <c r="G39">
        <v>86.8</v>
      </c>
      <c r="H39">
        <v>84.3</v>
      </c>
      <c r="I39">
        <v>85.2</v>
      </c>
      <c r="J39">
        <v>239</v>
      </c>
      <c r="K39">
        <v>247</v>
      </c>
      <c r="L39">
        <v>246</v>
      </c>
      <c r="M39">
        <v>232</v>
      </c>
      <c r="N39">
        <v>224</v>
      </c>
      <c r="O39">
        <v>164.6</v>
      </c>
      <c r="P39">
        <v>183.6</v>
      </c>
      <c r="Q39">
        <v>183.7</v>
      </c>
      <c r="R39">
        <f t="shared" si="0"/>
        <v>440.00000000000057</v>
      </c>
      <c r="S39">
        <f t="shared" si="1"/>
        <v>500</v>
      </c>
      <c r="T39">
        <f t="shared" si="2"/>
        <v>250</v>
      </c>
      <c r="U39">
        <f t="shared" si="3"/>
        <v>340.00000000000057</v>
      </c>
      <c r="V39">
        <f t="shared" si="4"/>
        <v>8000</v>
      </c>
      <c r="W39">
        <f t="shared" si="5"/>
        <v>7000</v>
      </c>
      <c r="X39">
        <f t="shared" si="6"/>
        <v>0</v>
      </c>
      <c r="Y39">
        <f t="shared" si="7"/>
        <v>0</v>
      </c>
      <c r="Z39">
        <f t="shared" si="8"/>
        <v>1900</v>
      </c>
      <c r="AA39">
        <f t="shared" si="9"/>
        <v>1909.9999999999995</v>
      </c>
    </row>
    <row r="40" spans="1:27" x14ac:dyDescent="0.25">
      <c r="A40">
        <v>39</v>
      </c>
      <c r="B40" t="s">
        <v>98</v>
      </c>
      <c r="C40" t="s">
        <v>96</v>
      </c>
      <c r="D40">
        <v>11</v>
      </c>
      <c r="E40">
        <v>159.5</v>
      </c>
      <c r="F40">
        <v>165.3</v>
      </c>
      <c r="G40">
        <v>167.1</v>
      </c>
      <c r="H40">
        <v>162.69999999999999</v>
      </c>
      <c r="I40">
        <v>163.4</v>
      </c>
      <c r="J40">
        <v>594</v>
      </c>
      <c r="K40">
        <v>606</v>
      </c>
      <c r="L40">
        <v>599</v>
      </c>
      <c r="M40">
        <v>548</v>
      </c>
      <c r="N40">
        <v>517</v>
      </c>
      <c r="O40">
        <v>94.3</v>
      </c>
      <c r="P40">
        <v>118.4</v>
      </c>
      <c r="Q40">
        <v>118.4</v>
      </c>
      <c r="R40">
        <f t="shared" si="0"/>
        <v>580.00000000000114</v>
      </c>
      <c r="S40">
        <f t="shared" si="1"/>
        <v>759.99999999999943</v>
      </c>
      <c r="T40">
        <f t="shared" si="2"/>
        <v>319.99999999999886</v>
      </c>
      <c r="U40">
        <f t="shared" si="3"/>
        <v>390.00000000000057</v>
      </c>
      <c r="V40">
        <f t="shared" si="4"/>
        <v>12000</v>
      </c>
      <c r="W40">
        <f t="shared" si="5"/>
        <v>5000</v>
      </c>
      <c r="X40">
        <f t="shared" si="6"/>
        <v>0</v>
      </c>
      <c r="Y40">
        <f t="shared" si="7"/>
        <v>0</v>
      </c>
      <c r="Z40">
        <f t="shared" si="8"/>
        <v>2410.0000000000009</v>
      </c>
      <c r="AA40">
        <f t="shared" si="9"/>
        <v>2410.0000000000009</v>
      </c>
    </row>
    <row r="41" spans="1:27" x14ac:dyDescent="0.25">
      <c r="A41">
        <v>40</v>
      </c>
      <c r="B41" t="s">
        <v>99</v>
      </c>
      <c r="C41" t="s">
        <v>99</v>
      </c>
      <c r="D41">
        <v>12</v>
      </c>
      <c r="E41">
        <v>101.9</v>
      </c>
      <c r="F41">
        <v>137.69999999999999</v>
      </c>
      <c r="G41">
        <v>160.19999999999999</v>
      </c>
      <c r="H41">
        <v>117.7</v>
      </c>
      <c r="I41">
        <v>127</v>
      </c>
      <c r="J41">
        <v>429</v>
      </c>
      <c r="K41">
        <v>555</v>
      </c>
      <c r="L41">
        <v>609</v>
      </c>
      <c r="M41">
        <v>470</v>
      </c>
      <c r="N41">
        <v>475</v>
      </c>
      <c r="O41">
        <v>250.8</v>
      </c>
      <c r="P41">
        <v>270.8</v>
      </c>
      <c r="Q41">
        <v>272.3</v>
      </c>
      <c r="R41">
        <f t="shared" si="0"/>
        <v>3579.9999999999982</v>
      </c>
      <c r="S41">
        <f t="shared" si="1"/>
        <v>5829.9999999999982</v>
      </c>
      <c r="T41">
        <f t="shared" si="2"/>
        <v>1579.9999999999998</v>
      </c>
      <c r="U41">
        <f t="shared" si="3"/>
        <v>2509.9999999999995</v>
      </c>
      <c r="V41">
        <f t="shared" si="4"/>
        <v>126000</v>
      </c>
      <c r="W41">
        <f t="shared" si="5"/>
        <v>180000</v>
      </c>
      <c r="X41">
        <f t="shared" si="6"/>
        <v>41000</v>
      </c>
      <c r="Y41">
        <f t="shared" si="7"/>
        <v>46000</v>
      </c>
      <c r="Z41">
        <f t="shared" si="8"/>
        <v>2000</v>
      </c>
      <c r="AA41">
        <f t="shared" si="9"/>
        <v>2150</v>
      </c>
    </row>
    <row r="43" spans="1:27" x14ac:dyDescent="0.25">
      <c r="A43" t="s">
        <v>100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6"/>
  <sheetViews>
    <sheetView workbookViewId="0"/>
  </sheetViews>
  <sheetFormatPr defaultRowHeight="15" x14ac:dyDescent="0.25"/>
  <cols>
    <col min="1" max="1" width="34" customWidth="1"/>
    <col min="3" max="3" width="22" customWidth="1"/>
    <col min="5" max="5" width="22" customWidth="1"/>
  </cols>
  <sheetData>
    <row r="1" spans="1:8" x14ac:dyDescent="0.25">
      <c r="A1" s="1" t="s">
        <v>101</v>
      </c>
      <c r="B1" s="1" t="s">
        <v>102</v>
      </c>
      <c r="C1" s="1" t="s">
        <v>103</v>
      </c>
    </row>
    <row r="2" spans="1:8" x14ac:dyDescent="0.25">
      <c r="A2" t="s">
        <v>104</v>
      </c>
      <c r="B2">
        <f>(2030-Years!A2)/(2040-Years!A2)</f>
        <v>0.44444444444444442</v>
      </c>
      <c r="C2" t="s">
        <v>105</v>
      </c>
    </row>
    <row r="3" spans="1:8" x14ac:dyDescent="0.25">
      <c r="A3" t="s">
        <v>106</v>
      </c>
      <c r="B3">
        <v>125994.4800114036</v>
      </c>
      <c r="C3" t="s">
        <v>107</v>
      </c>
    </row>
    <row r="4" spans="1:8" x14ac:dyDescent="0.25">
      <c r="A4" t="s">
        <v>108</v>
      </c>
      <c r="B4">
        <f>SUM(COROP!J2:J41)*1000</f>
        <v>17475000</v>
      </c>
      <c r="C4" t="s">
        <v>109</v>
      </c>
    </row>
    <row r="5" spans="1:8" x14ac:dyDescent="0.25">
      <c r="A5" t="s">
        <v>110</v>
      </c>
      <c r="B5">
        <f>(B3-B26)/B4</f>
        <v>5.9951445258813992E-3</v>
      </c>
      <c r="C5" t="s">
        <v>111</v>
      </c>
    </row>
    <row r="7" spans="1:8" x14ac:dyDescent="0.25">
      <c r="A7" s="1" t="s">
        <v>112</v>
      </c>
    </row>
    <row r="8" spans="1:8" x14ac:dyDescent="0.25">
      <c r="A8" s="1" t="s">
        <v>113</v>
      </c>
      <c r="B8" s="1" t="s">
        <v>114</v>
      </c>
      <c r="C8" s="1" t="s">
        <v>115</v>
      </c>
      <c r="D8" s="1" t="s">
        <v>116</v>
      </c>
      <c r="E8" s="1" t="s">
        <v>117</v>
      </c>
      <c r="F8" s="1" t="s">
        <v>118</v>
      </c>
      <c r="G8" s="1" t="s">
        <v>119</v>
      </c>
      <c r="H8" s="1" t="s">
        <v>120</v>
      </c>
    </row>
    <row r="9" spans="1:8" x14ac:dyDescent="0.25">
      <c r="A9" t="s">
        <v>121</v>
      </c>
      <c r="B9">
        <v>7.34</v>
      </c>
      <c r="C9">
        <v>3.98</v>
      </c>
      <c r="D9">
        <v>0.61</v>
      </c>
    </row>
    <row r="10" spans="1:8" x14ac:dyDescent="0.25">
      <c r="A10" t="s">
        <v>122</v>
      </c>
      <c r="B10">
        <v>9.6300000000000008</v>
      </c>
      <c r="C10">
        <v>4.59</v>
      </c>
      <c r="D10">
        <v>0.76</v>
      </c>
      <c r="E10">
        <f t="shared" ref="E10:E15" si="0">(B10+C10+D10)-(B$9+C$9+D$9)</f>
        <v>3.0500000000000007</v>
      </c>
      <c r="F10">
        <v>1</v>
      </c>
      <c r="G10">
        <f t="shared" ref="G10:G15" si="1">(B10-B$9)/((B10-B$9)+(C10-C$9))</f>
        <v>0.78965517241379324</v>
      </c>
      <c r="H10">
        <f t="shared" ref="H10:H15" si="2">(D10-D$9)/E10</f>
        <v>4.9180327868852458E-2</v>
      </c>
    </row>
    <row r="11" spans="1:8" x14ac:dyDescent="0.25">
      <c r="A11" t="s">
        <v>123</v>
      </c>
      <c r="B11">
        <v>8.8699999999999992</v>
      </c>
      <c r="C11">
        <v>4.59</v>
      </c>
      <c r="D11">
        <v>0.92</v>
      </c>
      <c r="E11">
        <f t="shared" si="0"/>
        <v>2.4499999999999993</v>
      </c>
      <c r="F11">
        <f>E11/E10</f>
        <v>0.80327868852458972</v>
      </c>
      <c r="G11">
        <f t="shared" si="1"/>
        <v>0.7149532710280373</v>
      </c>
      <c r="H11">
        <f t="shared" si="2"/>
        <v>0.12653061224489801</v>
      </c>
    </row>
    <row r="12" spans="1:8" x14ac:dyDescent="0.25">
      <c r="A12" t="s">
        <v>124</v>
      </c>
      <c r="B12">
        <v>10.09</v>
      </c>
      <c r="C12">
        <v>4.8899999999999997</v>
      </c>
      <c r="D12">
        <v>0.76</v>
      </c>
      <c r="E12">
        <f t="shared" si="0"/>
        <v>3.8100000000000005</v>
      </c>
      <c r="F12">
        <f>E12/E10</f>
        <v>1.2491803278688522</v>
      </c>
      <c r="G12">
        <f t="shared" si="1"/>
        <v>0.75136612021857929</v>
      </c>
      <c r="H12">
        <f t="shared" si="2"/>
        <v>3.937007874015748E-2</v>
      </c>
    </row>
    <row r="13" spans="1:8" x14ac:dyDescent="0.25">
      <c r="A13" t="s">
        <v>125</v>
      </c>
      <c r="B13">
        <v>7.95</v>
      </c>
      <c r="C13">
        <v>4.74</v>
      </c>
      <c r="D13">
        <v>0.76</v>
      </c>
      <c r="E13">
        <f t="shared" si="0"/>
        <v>1.5200000000000014</v>
      </c>
      <c r="F13">
        <v>1</v>
      </c>
      <c r="G13">
        <f t="shared" si="1"/>
        <v>0.44525547445255481</v>
      </c>
      <c r="H13">
        <f t="shared" si="2"/>
        <v>9.8684210526315722E-2</v>
      </c>
    </row>
    <row r="14" spans="1:8" x14ac:dyDescent="0.25">
      <c r="A14" t="s">
        <v>126</v>
      </c>
      <c r="B14">
        <v>7.8</v>
      </c>
      <c r="C14">
        <v>4.59</v>
      </c>
      <c r="D14">
        <v>0.92</v>
      </c>
      <c r="E14">
        <f t="shared" si="0"/>
        <v>1.3800000000000008</v>
      </c>
      <c r="F14">
        <f>E14/E13</f>
        <v>0.90789473684210498</v>
      </c>
      <c r="G14">
        <f t="shared" si="1"/>
        <v>0.42990654205607481</v>
      </c>
      <c r="H14">
        <f t="shared" si="2"/>
        <v>0.2246376811594202</v>
      </c>
    </row>
    <row r="15" spans="1:8" x14ac:dyDescent="0.25">
      <c r="A15" t="s">
        <v>127</v>
      </c>
      <c r="B15">
        <v>7.95</v>
      </c>
      <c r="C15">
        <v>4.8899999999999997</v>
      </c>
      <c r="D15">
        <v>0.76</v>
      </c>
      <c r="E15">
        <f t="shared" si="0"/>
        <v>1.67</v>
      </c>
      <c r="F15">
        <f>E15/E13</f>
        <v>1.0986842105263148</v>
      </c>
      <c r="G15">
        <f t="shared" si="1"/>
        <v>0.4013157894736844</v>
      </c>
      <c r="H15">
        <f t="shared" si="2"/>
        <v>8.982035928143714E-2</v>
      </c>
    </row>
    <row r="17" spans="1:5" x14ac:dyDescent="0.25">
      <c r="A17" s="1" t="s">
        <v>128</v>
      </c>
    </row>
    <row r="18" spans="1:5" x14ac:dyDescent="0.25">
      <c r="A18" s="1" t="s">
        <v>129</v>
      </c>
      <c r="B18" s="1" t="s">
        <v>130</v>
      </c>
      <c r="C18" s="1" t="s">
        <v>131</v>
      </c>
      <c r="D18" s="1" t="s">
        <v>132</v>
      </c>
      <c r="E18" s="1" t="s">
        <v>133</v>
      </c>
    </row>
    <row r="19" spans="1:5" x14ac:dyDescent="0.25">
      <c r="A19" t="s">
        <v>134</v>
      </c>
      <c r="B19" t="s">
        <v>122</v>
      </c>
      <c r="C19" t="s">
        <v>135</v>
      </c>
      <c r="D19">
        <v>35000</v>
      </c>
      <c r="E19" t="s">
        <v>136</v>
      </c>
    </row>
    <row r="20" spans="1:5" x14ac:dyDescent="0.25">
      <c r="A20" t="s">
        <v>137</v>
      </c>
      <c r="B20" t="s">
        <v>125</v>
      </c>
      <c r="C20" t="s">
        <v>135</v>
      </c>
      <c r="D20">
        <v>35000</v>
      </c>
      <c r="E20" t="s">
        <v>138</v>
      </c>
    </row>
    <row r="21" spans="1:5" x14ac:dyDescent="0.25">
      <c r="A21" t="s">
        <v>139</v>
      </c>
      <c r="B21" t="s">
        <v>122</v>
      </c>
      <c r="C21" t="s">
        <v>140</v>
      </c>
      <c r="D21">
        <v>71000</v>
      </c>
      <c r="E21" t="s">
        <v>141</v>
      </c>
    </row>
    <row r="22" spans="1:5" x14ac:dyDescent="0.25">
      <c r="A22" t="s">
        <v>142</v>
      </c>
      <c r="B22" t="s">
        <v>125</v>
      </c>
      <c r="C22" t="s">
        <v>140</v>
      </c>
      <c r="D22">
        <f>SUM(COROP!AA2:AA41)</f>
        <v>94880</v>
      </c>
      <c r="E22" t="s">
        <v>143</v>
      </c>
    </row>
    <row r="24" spans="1:5" x14ac:dyDescent="0.25">
      <c r="A24" s="1" t="s">
        <v>144</v>
      </c>
    </row>
    <row r="25" spans="1:5" x14ac:dyDescent="0.25">
      <c r="A25" t="s">
        <v>145</v>
      </c>
      <c r="B25">
        <f>SUM(COROP!E2:E41)/((B9+C9+D9)/100)</f>
        <v>34802.179379715002</v>
      </c>
      <c r="C25" t="s">
        <v>146</v>
      </c>
    </row>
    <row r="26" spans="1:5" x14ac:dyDescent="0.25">
      <c r="A26" t="s">
        <v>147</v>
      </c>
      <c r="B26">
        <f>D9/100*B25*100</f>
        <v>21229.329421626149</v>
      </c>
      <c r="C26" t="s">
        <v>148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Y15"/>
  <sheetViews>
    <sheetView workbookViewId="0"/>
  </sheetViews>
  <sheetFormatPr defaultRowHeight="15" x14ac:dyDescent="0.25"/>
  <sheetData>
    <row r="1" spans="1:51" x14ac:dyDescent="0.25">
      <c r="A1" s="1" t="s">
        <v>26</v>
      </c>
      <c r="B1" s="1" t="s">
        <v>25</v>
      </c>
      <c r="C1" s="1" t="s">
        <v>149</v>
      </c>
      <c r="D1" s="1" t="s">
        <v>150</v>
      </c>
      <c r="E1" s="1" t="s">
        <v>151</v>
      </c>
      <c r="F1" s="1" t="s">
        <v>152</v>
      </c>
      <c r="G1" s="1" t="s">
        <v>153</v>
      </c>
      <c r="H1" s="1" t="s">
        <v>154</v>
      </c>
      <c r="I1" s="1" t="s">
        <v>155</v>
      </c>
      <c r="J1" s="1" t="s">
        <v>156</v>
      </c>
      <c r="K1" s="1" t="s">
        <v>157</v>
      </c>
      <c r="L1" s="1" t="s">
        <v>158</v>
      </c>
      <c r="M1" s="1" t="s">
        <v>159</v>
      </c>
      <c r="N1" s="1" t="s">
        <v>160</v>
      </c>
      <c r="O1" s="1" t="s">
        <v>161</v>
      </c>
      <c r="P1" s="1" t="s">
        <v>162</v>
      </c>
      <c r="Q1" s="1" t="s">
        <v>163</v>
      </c>
      <c r="R1" s="1" t="s">
        <v>164</v>
      </c>
      <c r="S1" s="1" t="s">
        <v>165</v>
      </c>
      <c r="T1" s="1" t="s">
        <v>166</v>
      </c>
      <c r="U1" s="1" t="s">
        <v>167</v>
      </c>
      <c r="V1" s="1" t="s">
        <v>168</v>
      </c>
      <c r="W1" s="1" t="s">
        <v>169</v>
      </c>
      <c r="X1" s="1" t="s">
        <v>170</v>
      </c>
      <c r="Y1" s="1" t="s">
        <v>171</v>
      </c>
      <c r="Z1" s="1" t="s">
        <v>172</v>
      </c>
      <c r="AA1" s="1" t="s">
        <v>173</v>
      </c>
      <c r="AB1" s="1" t="s">
        <v>174</v>
      </c>
      <c r="AC1" s="1" t="s">
        <v>175</v>
      </c>
      <c r="AD1" s="1" t="s">
        <v>176</v>
      </c>
      <c r="AE1" s="1" t="s">
        <v>177</v>
      </c>
      <c r="AF1" s="1" t="s">
        <v>178</v>
      </c>
      <c r="AG1" s="1" t="s">
        <v>179</v>
      </c>
      <c r="AH1" s="1" t="s">
        <v>180</v>
      </c>
      <c r="AI1" s="1" t="s">
        <v>181</v>
      </c>
      <c r="AJ1" s="1" t="s">
        <v>182</v>
      </c>
      <c r="AK1" s="1" t="s">
        <v>183</v>
      </c>
      <c r="AL1" s="1" t="s">
        <v>184</v>
      </c>
      <c r="AM1" s="1" t="s">
        <v>185</v>
      </c>
      <c r="AN1" s="1" t="s">
        <v>186</v>
      </c>
      <c r="AO1" s="1" t="s">
        <v>187</v>
      </c>
      <c r="AP1" s="1" t="s">
        <v>188</v>
      </c>
      <c r="AQ1" s="1" t="s">
        <v>189</v>
      </c>
      <c r="AR1" s="1" t="s">
        <v>190</v>
      </c>
      <c r="AS1" s="1" t="s">
        <v>191</v>
      </c>
      <c r="AT1" s="1" t="s">
        <v>192</v>
      </c>
      <c r="AU1" s="1" t="s">
        <v>193</v>
      </c>
      <c r="AV1" s="1" t="s">
        <v>194</v>
      </c>
      <c r="AW1" s="1" t="s">
        <v>195</v>
      </c>
      <c r="AX1" s="1" t="s">
        <v>196</v>
      </c>
      <c r="AY1" s="1" t="s">
        <v>197</v>
      </c>
    </row>
    <row r="2" spans="1:51" x14ac:dyDescent="0.25">
      <c r="A2">
        <v>1</v>
      </c>
      <c r="B2" t="s">
        <v>51</v>
      </c>
      <c r="C2">
        <v>3</v>
      </c>
      <c r="D2">
        <f>E2*Parameters!$B$2</f>
        <v>569.03460837887076</v>
      </c>
      <c r="E2">
        <f>SUMIFS(COROP!$R$2:$R$41,COROP!$D$2:$D$41,$A2)*Parameters!$F$12*(1-Parameters!$H$12)*Parameters!$G$12</f>
        <v>1280.3278688524592</v>
      </c>
      <c r="F2">
        <f>SUMIFS(COROP!$S$2:$S$41,COROP!$D$2:$D$41,$A2)*Parameters!$F$12*(1-Parameters!$H$12)*Parameters!$G$12</f>
        <v>1686.0655737704928</v>
      </c>
      <c r="G2">
        <f>H2*Parameters!$B$2</f>
        <v>188.29872495446264</v>
      </c>
      <c r="H2">
        <f>SUMIFS(COROP!$R$2:$R$41,COROP!$D$2:$D$41,$A2)*Parameters!$F$12*(1-Parameters!$H$12)*(1-Parameters!$G$12)</f>
        <v>423.67213114754094</v>
      </c>
      <c r="I2">
        <f>SUMIFS(COROP!$S$2:$S$41,COROP!$D$2:$D$41,$A2)*Parameters!$F$12*(1-Parameters!$H$12)*(1-Parameters!$G$12)</f>
        <v>557.9344262295084</v>
      </c>
      <c r="J2">
        <f>K2*Parameters!$B$2</f>
        <v>214.88935015981644</v>
      </c>
      <c r="K2">
        <f>SUMIFS(COROP!$V$2:$V$41,COROP!$D$2:$D$41,$A2)*Parameters!$B$5+SUMIFS(COROP!$R$2:$R$41,COROP!$D$2:$D$41,$A2)*Parameters!$F$12*Parameters!$H$12</f>
        <v>483.50103785958703</v>
      </c>
      <c r="L2">
        <f>SUMIFS(COROP!$W$2:$W$41,COROP!$D$2:$D$41,$A2)*Parameters!$B$5+SUMIFS(COROP!$S$2:$S$41,COROP!$D$2:$D$41,$A2)*Parameters!$F$12*Parameters!$H$12</f>
        <v>613.54478686643586</v>
      </c>
      <c r="M2">
        <f>Parameters!$D$19*SUMIFS(COROP!$Z$2:$Z$41,COROP!$D$2:$D$41,$A2)/SUM(COROP!$Z$2:$Z$41)</f>
        <v>1595.7896963926798</v>
      </c>
      <c r="N2">
        <f>Parameters!$D$19*SUMIFS(COROP!$Z$2:$Z$41,COROP!$D$2:$D$41,$A2)/SUM(COROP!$Z$2:$Z$41)</f>
        <v>1595.7896963926798</v>
      </c>
      <c r="O2">
        <f>Parameters!$D$19*SUMIFS(COROP!$Z$2:$Z$41,COROP!$D$2:$D$41,$A2)/SUM(COROP!$Z$2:$Z$41)</f>
        <v>1595.7896963926798</v>
      </c>
      <c r="P2">
        <f>Q2*Parameters!$B$2</f>
        <v>149.82456140350885</v>
      </c>
      <c r="Q2">
        <f>SUMIFS(COROP!$T$2:$T$41,COROP!$D$2:$D$41,$A2)*Parameters!$F$15*(1-Parameters!$H$15)*Parameters!$G$15</f>
        <v>337.10526315789497</v>
      </c>
      <c r="R2">
        <f>SUMIFS(COROP!$U$2:$U$41,COROP!$D$2:$D$41,$A2)*Parameters!$F$15*(1-Parameters!$H$15)*Parameters!$G$15</f>
        <v>509.67105263157902</v>
      </c>
      <c r="S2">
        <f>T2*Parameters!$B$2</f>
        <v>223.50877192982449</v>
      </c>
      <c r="T2">
        <f>SUMIFS(COROP!$T$2:$T$41,COROP!$D$2:$D$41,$A2)*Parameters!$F$15*(1-Parameters!$H$15)*(1-Parameters!$G$15)</f>
        <v>502.89473684210515</v>
      </c>
      <c r="U2">
        <f>SUMIFS(COROP!$U$2:$U$41,COROP!$D$2:$D$41,$A2)*Parameters!$F$15*(1-Parameters!$H$15)*(1-Parameters!$G$15)</f>
        <v>760.32894736842059</v>
      </c>
      <c r="V2">
        <f>W2*Parameters!$B$2</f>
        <v>146.08696106810783</v>
      </c>
      <c r="W2">
        <f>SUMIFS(COROP!$X$2:$X$41,COROP!$D$2:$D$41,$A2)*Parameters!$B$5+SUMIFS(COROP!$T$2:$T$41,COROP!$D$2:$D$41,$A2)*Parameters!$F$15*Parameters!$H$15</f>
        <v>328.69566240324264</v>
      </c>
      <c r="X2">
        <f>SUMIFS(COROP!$Y$2:$Y$41,COROP!$D$2:$D$41,$A2)*Parameters!$B$5+SUMIFS(COROP!$U$2:$U$41,COROP!$D$2:$D$41,$A2)*Parameters!$F$15*Parameters!$H$15</f>
        <v>347.14929482603281</v>
      </c>
      <c r="Y2">
        <f>Parameters!$D$20*SUMIFS(COROP!$AA$2:$AA$41,COROP!$D$2:$D$41,$A2)/SUM(COROP!$AA$2:$AA$41)</f>
        <v>1589.9030354131537</v>
      </c>
      <c r="Z2">
        <f>Parameters!$D$20*SUMIFS(COROP!$AA$2:$AA$41,COROP!$D$2:$D$41,$A2)/SUM(COROP!$AA$2:$AA$41)</f>
        <v>1589.9030354131537</v>
      </c>
      <c r="AA2">
        <f>Parameters!$D$20*SUMIFS(COROP!$AA$2:$AA$41,COROP!$D$2:$D$41,$A2)/SUM(COROP!$AA$2:$AA$41)</f>
        <v>1589.9030354131537</v>
      </c>
      <c r="AB2">
        <f>AC2*Parameters!$B$2</f>
        <v>316.59016393442607</v>
      </c>
      <c r="AC2">
        <f>SUMIFS(COROP!$R$2:$R$41,COROP!$D$2:$D$41,$A2)*Parameters!$F$11*(1-Parameters!$H$11)*Parameters!$G$11</f>
        <v>712.32786885245866</v>
      </c>
      <c r="AD2">
        <f>SUMIFS(COROP!$S$2:$S$41,COROP!$D$2:$D$41,$A2)*Parameters!$F$11*(1-Parameters!$H$11)*Parameters!$G$11</f>
        <v>938.06557377049182</v>
      </c>
      <c r="AE2">
        <f>AF2*Parameters!$B$2</f>
        <v>126.22222222222221</v>
      </c>
      <c r="AF2">
        <f>SUMIFS(COROP!$R$2:$R$41,COROP!$D$2:$D$41,$A2)*Parameters!$F$11*(1-Parameters!$H$11)*(1-Parameters!$G$11)</f>
        <v>284</v>
      </c>
      <c r="AG2">
        <f>SUMIFS(COROP!$S$2:$S$41,COROP!$D$2:$D$41,$A2)*Parameters!$F$11*(1-Parameters!$H$11)*(1-Parameters!$G$11)</f>
        <v>374.00000000000017</v>
      </c>
      <c r="AH2">
        <f>AI2*Parameters!$B$2</f>
        <v>247.99681828367804</v>
      </c>
      <c r="AI2">
        <f>SUMIFS(COROP!$V$2:$V$41,COROP!$D$2:$D$41,$A2)*Parameters!$B$5+SUMIFS(COROP!$R$2:$R$41,COROP!$D$2:$D$41,$A2)*Parameters!$F$11*Parameters!$H$11</f>
        <v>557.99284113827559</v>
      </c>
      <c r="AJ2">
        <f>SUMIFS(COROP!$W$2:$W$41,COROP!$D$2:$D$41,$A2)*Parameters!$B$5+SUMIFS(COROP!$S$2:$S$41,COROP!$D$2:$D$41,$A2)*Parameters!$F$11*Parameters!$H$11</f>
        <v>711.64314752217365</v>
      </c>
      <c r="AK2">
        <f>Parameters!$D$21*SUMIFS(COROP!$Z$2:$Z$41,COROP!$D$2:$D$41,$A2)/SUM(COROP!$Z$2:$Z$41)</f>
        <v>3237.1733841108648</v>
      </c>
      <c r="AL2">
        <f>Parameters!$D$21*SUMIFS(COROP!$Z$2:$Z$41,COROP!$D$2:$D$41,$A2)/SUM(COROP!$Z$2:$Z$41)</f>
        <v>3237.1733841108648</v>
      </c>
      <c r="AM2">
        <f>Parameters!$D$21*SUMIFS(COROP!$Z$2:$Z$41,COROP!$D$2:$D$41,$A2)/SUM(COROP!$Z$2:$Z$41)</f>
        <v>3237.1733841108648</v>
      </c>
      <c r="AN2">
        <f>AO2*Parameters!$B$2</f>
        <v>112.98245614035099</v>
      </c>
      <c r="AO2">
        <f>SUMIFS(COROP!$T$2:$T$41,COROP!$D$2:$D$41,$A2)*Parameters!$F$14*(1-Parameters!$H$14)*Parameters!$G$14</f>
        <v>254.21052631578974</v>
      </c>
      <c r="AP2">
        <f>SUMIFS(COROP!$U$2:$U$41,COROP!$D$2:$D$41,$A2)*Parameters!$F$14*(1-Parameters!$H$14)*Parameters!$G$14</f>
        <v>384.34210526315809</v>
      </c>
      <c r="AQ2">
        <f>AR2*Parameters!$B$2</f>
        <v>149.82456140350888</v>
      </c>
      <c r="AR2">
        <f>SUMIFS(COROP!$T$2:$T$41,COROP!$D$2:$D$41,$A2)*Parameters!$F$14*(1-Parameters!$H$14)*(1-Parameters!$G$14)</f>
        <v>337.10526315789502</v>
      </c>
      <c r="AS2">
        <f>SUMIFS(COROP!$U$2:$U$41,COROP!$D$2:$D$41,$A2)*Parameters!$F$14*(1-Parameters!$H$14)*(1-Parameters!$G$14)</f>
        <v>509.67105263157913</v>
      </c>
      <c r="AT2">
        <f>AU2*Parameters!$B$2</f>
        <v>185.38520668214295</v>
      </c>
      <c r="AU2">
        <f>SUMIFS(COROP!$X$2:$X$41,COROP!$D$2:$D$41,$A2)*Parameters!$B$5+SUMIFS(COROP!$T$2:$T$41,COROP!$D$2:$D$41,$A2)*Parameters!$F$14*Parameters!$H$14</f>
        <v>417.11671503482165</v>
      </c>
      <c r="AV2">
        <f>SUMIFS(COROP!$Y$2:$Y$41,COROP!$D$2:$D$41,$A2)*Parameters!$B$5+SUMIFS(COROP!$U$2:$U$41,COROP!$D$2:$D$41,$A2)*Parameters!$F$14*Parameters!$H$14</f>
        <v>480.8335053523486</v>
      </c>
      <c r="AW2">
        <f>Parameters!$D$22*SUMIFS(COROP!$AA$2:$AA$41,COROP!$D$2:$D$41,$A2)/SUM(COROP!$AA$2:$AA$41)</f>
        <v>4310.0000000000009</v>
      </c>
      <c r="AX2">
        <f>Parameters!$D$22*SUMIFS(COROP!$AA$2:$AA$41,COROP!$D$2:$D$41,$A2)/SUM(COROP!$AA$2:$AA$41)</f>
        <v>4310.0000000000009</v>
      </c>
      <c r="AY2">
        <f>Parameters!$D$22*SUMIFS(COROP!$AA$2:$AA$41,COROP!$D$2:$D$41,$A2)/SUM(COROP!$AA$2:$AA$41)</f>
        <v>4310.0000000000009</v>
      </c>
    </row>
    <row r="3" spans="1:51" x14ac:dyDescent="0.25">
      <c r="A3">
        <v>2</v>
      </c>
      <c r="B3" t="s">
        <v>55</v>
      </c>
      <c r="C3">
        <v>3</v>
      </c>
      <c r="D3">
        <f>E3*Parameters!$B$2</f>
        <v>665.20947176684876</v>
      </c>
      <c r="E3">
        <f>SUMIFS(COROP!$R$2:$R$41,COROP!$D$2:$D$41,$A3)*Parameters!$F$12*(1-Parameters!$H$12)*Parameters!$G$12</f>
        <v>1496.7213114754097</v>
      </c>
      <c r="F3">
        <f>SUMIFS(COROP!$S$2:$S$41,COROP!$D$2:$D$41,$A3)*Parameters!$F$12*(1-Parameters!$H$12)*Parameters!$G$12</f>
        <v>2281.1475409836053</v>
      </c>
      <c r="G3">
        <f>H3*Parameters!$B$2</f>
        <v>220.12386156648441</v>
      </c>
      <c r="H3">
        <f>SUMIFS(COROP!$R$2:$R$41,COROP!$D$2:$D$41,$A3)*Parameters!$F$12*(1-Parameters!$H$12)*(1-Parameters!$G$12)</f>
        <v>495.27868852458994</v>
      </c>
      <c r="I3">
        <f>SUMIFS(COROP!$S$2:$S$41,COROP!$D$2:$D$41,$A3)*Parameters!$F$12*(1-Parameters!$H$12)*(1-Parameters!$G$12)</f>
        <v>754.8524590163928</v>
      </c>
      <c r="J3">
        <f>K3*Parameters!$B$2</f>
        <v>105.56137863787175</v>
      </c>
      <c r="K3">
        <f>SUMIFS(COROP!$V$2:$V$41,COROP!$D$2:$D$41,$A3)*Parameters!$B$5+SUMIFS(COROP!$R$2:$R$41,COROP!$D$2:$D$41,$A3)*Parameters!$F$12*Parameters!$H$12</f>
        <v>237.51310193521147</v>
      </c>
      <c r="L3">
        <f>SUMIFS(COROP!$W$2:$W$41,COROP!$D$2:$D$41,$A3)*Parameters!$B$5+SUMIFS(COROP!$S$2:$S$41,COROP!$D$2:$D$41,$A3)*Parameters!$F$12*Parameters!$H$12</f>
        <v>328.26114338816421</v>
      </c>
      <c r="M3">
        <f>Parameters!$D$19*SUMIFS(COROP!$Z$2:$Z$41,COROP!$D$2:$D$41,$A3)/SUM(COROP!$Z$2:$Z$41)</f>
        <v>2669.5229027821861</v>
      </c>
      <c r="N3">
        <f>Parameters!$D$19*SUMIFS(COROP!$Z$2:$Z$41,COROP!$D$2:$D$41,$A3)/SUM(COROP!$Z$2:$Z$41)</f>
        <v>2669.5229027821861</v>
      </c>
      <c r="O3">
        <f>Parameters!$D$19*SUMIFS(COROP!$Z$2:$Z$41,COROP!$D$2:$D$41,$A3)/SUM(COROP!$Z$2:$Z$41)</f>
        <v>2669.5229027821861</v>
      </c>
      <c r="P3">
        <f>Q3*Parameters!$B$2</f>
        <v>239.00584795321649</v>
      </c>
      <c r="Q3">
        <f>SUMIFS(COROP!$T$2:$T$41,COROP!$D$2:$D$41,$A3)*Parameters!$F$15*(1-Parameters!$H$15)*Parameters!$G$15</f>
        <v>537.76315789473711</v>
      </c>
      <c r="R3">
        <f>SUMIFS(COROP!$U$2:$U$41,COROP!$D$2:$D$41,$A3)*Parameters!$F$15*(1-Parameters!$H$15)*Parameters!$G$15</f>
        <v>995.2631578947362</v>
      </c>
      <c r="S3">
        <f>T3*Parameters!$B$2</f>
        <v>356.54970760233903</v>
      </c>
      <c r="T3">
        <f>SUMIFS(COROP!$T$2:$T$41,COROP!$D$2:$D$41,$A3)*Parameters!$F$15*(1-Parameters!$H$15)*(1-Parameters!$G$15)</f>
        <v>802.23684210526289</v>
      </c>
      <c r="U3">
        <f>SUMIFS(COROP!$U$2:$U$41,COROP!$D$2:$D$41,$A3)*Parameters!$F$15*(1-Parameters!$H$15)*(1-Parameters!$G$15)</f>
        <v>1484.7368421052611</v>
      </c>
      <c r="V3">
        <f>W3*Parameters!$B$2</f>
        <v>72.094473215408968</v>
      </c>
      <c r="W3">
        <f>SUMIFS(COROP!$X$2:$X$41,COROP!$D$2:$D$41,$A3)*Parameters!$B$5+SUMIFS(COROP!$T$2:$T$41,COROP!$D$2:$D$41,$A3)*Parameters!$F$15*Parameters!$H$15</f>
        <v>162.2125647346702</v>
      </c>
      <c r="X3">
        <f>SUMIFS(COROP!$Y$2:$Y$41,COROP!$D$2:$D$41,$A3)*Parameters!$B$5+SUMIFS(COROP!$U$2:$U$41,COROP!$D$2:$D$41,$A3)*Parameters!$F$15*Parameters!$H$15</f>
        <v>262.72227568290714</v>
      </c>
      <c r="Y3">
        <f>Parameters!$D$20*SUMIFS(COROP!$AA$2:$AA$41,COROP!$D$2:$D$41,$A3)/SUM(COROP!$AA$2:$AA$41)</f>
        <v>2655.9865092748737</v>
      </c>
      <c r="Z3">
        <f>Parameters!$D$20*SUMIFS(COROP!$AA$2:$AA$41,COROP!$D$2:$D$41,$A3)/SUM(COROP!$AA$2:$AA$41)</f>
        <v>2655.9865092748737</v>
      </c>
      <c r="AA3">
        <f>Parameters!$D$20*SUMIFS(COROP!$AA$2:$AA$41,COROP!$D$2:$D$41,$A3)/SUM(COROP!$AA$2:$AA$41)</f>
        <v>2655.9865092748737</v>
      </c>
      <c r="AB3">
        <f>AC3*Parameters!$B$2</f>
        <v>370.09836065573751</v>
      </c>
      <c r="AC3">
        <f>SUMIFS(COROP!$R$2:$R$41,COROP!$D$2:$D$41,$A3)*Parameters!$F$11*(1-Parameters!$H$11)*Parameters!$G$11</f>
        <v>832.72131147540938</v>
      </c>
      <c r="AD3">
        <f>SUMIFS(COROP!$S$2:$S$41,COROP!$D$2:$D$41,$A3)*Parameters!$F$11*(1-Parameters!$H$11)*Parameters!$G$11</f>
        <v>1269.1475409836053</v>
      </c>
      <c r="AE3">
        <f>AF3*Parameters!$B$2</f>
        <v>147.55555555555551</v>
      </c>
      <c r="AF3">
        <f>SUMIFS(COROP!$R$2:$R$41,COROP!$D$2:$D$41,$A3)*Parameters!$F$11*(1-Parameters!$H$11)*(1-Parameters!$G$11)</f>
        <v>331.99999999999994</v>
      </c>
      <c r="AG3">
        <f>SUMIFS(COROP!$S$2:$S$41,COROP!$D$2:$D$41,$A3)*Parameters!$F$11*(1-Parameters!$H$11)*(1-Parameters!$G$11)</f>
        <v>505.99999999999966</v>
      </c>
      <c r="AH3">
        <f>AI3*Parameters!$B$2</f>
        <v>144.26447517703386</v>
      </c>
      <c r="AI3">
        <f>SUMIFS(COROP!$V$2:$V$41,COROP!$D$2:$D$41,$A3)*Parameters!$B$5+SUMIFS(COROP!$R$2:$R$41,COROP!$D$2:$D$41,$A3)*Parameters!$F$11*Parameters!$H$11</f>
        <v>324.59506914832622</v>
      </c>
      <c r="AJ3">
        <f>SUMIFS(COROP!$W$2:$W$41,COROP!$D$2:$D$41,$A3)*Parameters!$B$5+SUMIFS(COROP!$S$2:$S$41,COROP!$D$2:$D$41,$A3)*Parameters!$F$11*Parameters!$H$11</f>
        <v>460.98245486357393</v>
      </c>
      <c r="AK3">
        <f>Parameters!$D$21*SUMIFS(COROP!$Z$2:$Z$41,COROP!$D$2:$D$41,$A3)/SUM(COROP!$Z$2:$Z$41)</f>
        <v>5415.3178885010066</v>
      </c>
      <c r="AL3">
        <f>Parameters!$D$21*SUMIFS(COROP!$Z$2:$Z$41,COROP!$D$2:$D$41,$A3)/SUM(COROP!$Z$2:$Z$41)</f>
        <v>5415.3178885010066</v>
      </c>
      <c r="AM3">
        <f>Parameters!$D$21*SUMIFS(COROP!$Z$2:$Z$41,COROP!$D$2:$D$41,$A3)/SUM(COROP!$Z$2:$Z$41)</f>
        <v>5415.3178885010066</v>
      </c>
      <c r="AN3">
        <f>AO3*Parameters!$B$2</f>
        <v>180.23391812865515</v>
      </c>
      <c r="AO3">
        <f>SUMIFS(COROP!$T$2:$T$41,COROP!$D$2:$D$41,$A3)*Parameters!$F$14*(1-Parameters!$H$14)*Parameters!$G$14</f>
        <v>405.5263157894741</v>
      </c>
      <c r="AP3">
        <f>SUMIFS(COROP!$U$2:$U$41,COROP!$D$2:$D$41,$A3)*Parameters!$F$14*(1-Parameters!$H$14)*Parameters!$G$14</f>
        <v>750.52631578947353</v>
      </c>
      <c r="AQ3">
        <f>AR3*Parameters!$B$2</f>
        <v>239.00584795321652</v>
      </c>
      <c r="AR3">
        <f>SUMIFS(COROP!$T$2:$T$41,COROP!$D$2:$D$41,$A3)*Parameters!$F$14*(1-Parameters!$H$14)*(1-Parameters!$G$14)</f>
        <v>537.76315789473722</v>
      </c>
      <c r="AS3">
        <f>SUMIFS(COROP!$U$2:$U$41,COROP!$D$2:$D$41,$A3)*Parameters!$F$14*(1-Parameters!$H$14)*(1-Parameters!$G$14)</f>
        <v>995.26315789473642</v>
      </c>
      <c r="AT3">
        <f>AU3*Parameters!$B$2</f>
        <v>134.78453169494117</v>
      </c>
      <c r="AU3">
        <f>SUMIFS(COROP!$X$2:$X$41,COROP!$D$2:$D$41,$A3)*Parameters!$B$5+SUMIFS(COROP!$T$2:$T$41,COROP!$D$2:$D$41,$A3)*Parameters!$F$14*Parameters!$H$14</f>
        <v>303.26519631361765</v>
      </c>
      <c r="AV3">
        <f>SUMIFS(COROP!$Y$2:$Y$41,COROP!$D$2:$D$41,$A3)*Parameters!$B$5+SUMIFS(COROP!$U$2:$U$41,COROP!$D$2:$D$41,$A3)*Parameters!$F$14*Parameters!$H$14</f>
        <v>523.77490726185431</v>
      </c>
      <c r="AW3">
        <f>Parameters!$D$22*SUMIFS(COROP!$AA$2:$AA$41,COROP!$D$2:$D$41,$A3)/SUM(COROP!$AA$2:$AA$41)</f>
        <v>7200</v>
      </c>
      <c r="AX3">
        <f>Parameters!$D$22*SUMIFS(COROP!$AA$2:$AA$41,COROP!$D$2:$D$41,$A3)/SUM(COROP!$AA$2:$AA$41)</f>
        <v>7200</v>
      </c>
      <c r="AY3">
        <f>Parameters!$D$22*SUMIFS(COROP!$AA$2:$AA$41,COROP!$D$2:$D$41,$A3)/SUM(COROP!$AA$2:$AA$41)</f>
        <v>7200</v>
      </c>
    </row>
    <row r="4" spans="1:51" x14ac:dyDescent="0.25">
      <c r="A4">
        <v>3</v>
      </c>
      <c r="B4" t="s">
        <v>59</v>
      </c>
      <c r="C4">
        <v>3</v>
      </c>
      <c r="D4">
        <f>E4*Parameters!$B$2</f>
        <v>597.08561020036416</v>
      </c>
      <c r="E4">
        <f>SUMIFS(COROP!$R$2:$R$41,COROP!$D$2:$D$41,$A4)*Parameters!$F$12*(1-Parameters!$H$12)*Parameters!$G$12</f>
        <v>1343.4426229508194</v>
      </c>
      <c r="F4">
        <f>SUMIFS(COROP!$S$2:$S$41,COROP!$D$2:$D$41,$A4)*Parameters!$F$12*(1-Parameters!$H$12)*Parameters!$G$12</f>
        <v>1956.5573770491792</v>
      </c>
      <c r="G4">
        <f>H4*Parameters!$B$2</f>
        <v>197.58105646630227</v>
      </c>
      <c r="H4">
        <f>SUMIFS(COROP!$R$2:$R$41,COROP!$D$2:$D$41,$A4)*Parameters!$F$12*(1-Parameters!$H$12)*(1-Parameters!$G$12)</f>
        <v>444.5573770491801</v>
      </c>
      <c r="I4">
        <f>SUMIFS(COROP!$S$2:$S$41,COROP!$D$2:$D$41,$A4)*Parameters!$F$12*(1-Parameters!$H$12)*(1-Parameters!$G$12)</f>
        <v>647.4426229508191</v>
      </c>
      <c r="J4">
        <f>K4*Parameters!$B$2</f>
        <v>64.542410148963086</v>
      </c>
      <c r="K4">
        <f>SUMIFS(COROP!$V$2:$V$41,COROP!$D$2:$D$41,$A4)*Parameters!$B$5+SUMIFS(COROP!$R$2:$R$41,COROP!$D$2:$D$41,$A4)*Parameters!$F$12*Parameters!$H$12</f>
        <v>145.22042283516694</v>
      </c>
      <c r="L4">
        <f>SUMIFS(COROP!$W$2:$W$41,COROP!$D$2:$D$41,$A4)*Parameters!$B$5+SUMIFS(COROP!$S$2:$S$41,COROP!$D$2:$D$41,$A4)*Parameters!$F$12*Parameters!$H$12</f>
        <v>214.63391294127496</v>
      </c>
      <c r="M4">
        <f>Parameters!$D$19*SUMIFS(COROP!$Z$2:$Z$41,COROP!$D$2:$D$41,$A4)/SUM(COROP!$Z$2:$Z$41)</f>
        <v>2765.7886385274523</v>
      </c>
      <c r="N4">
        <f>Parameters!$D$19*SUMIFS(COROP!$Z$2:$Z$41,COROP!$D$2:$D$41,$A4)/SUM(COROP!$Z$2:$Z$41)</f>
        <v>2765.7886385274523</v>
      </c>
      <c r="O4">
        <f>Parameters!$D$19*SUMIFS(COROP!$Z$2:$Z$41,COROP!$D$2:$D$41,$A4)/SUM(COROP!$Z$2:$Z$41)</f>
        <v>2765.7886385274523</v>
      </c>
      <c r="P4">
        <f>Q4*Parameters!$B$2</f>
        <v>190.84795321637421</v>
      </c>
      <c r="Q4">
        <f>SUMIFS(COROP!$T$2:$T$41,COROP!$D$2:$D$41,$A4)*Parameters!$F$15*(1-Parameters!$H$15)*Parameters!$G$15</f>
        <v>429.40789473684197</v>
      </c>
      <c r="R4">
        <f>SUMIFS(COROP!$U$2:$U$41,COROP!$D$2:$D$41,$A4)*Parameters!$F$15*(1-Parameters!$H$15)*Parameters!$G$15</f>
        <v>686.25</v>
      </c>
      <c r="S4">
        <f>T4*Parameters!$B$2</f>
        <v>284.70760233918094</v>
      </c>
      <c r="T4">
        <f>SUMIFS(COROP!$T$2:$T$41,COROP!$D$2:$D$41,$A4)*Parameters!$F$15*(1-Parameters!$H$15)*(1-Parameters!$G$15)</f>
        <v>640.59210526315712</v>
      </c>
      <c r="U4">
        <f>SUMIFS(COROP!$U$2:$U$41,COROP!$D$2:$D$41,$A4)*Parameters!$F$15*(1-Parameters!$H$15)*(1-Parameters!$G$15)</f>
        <v>1023.7499999999993</v>
      </c>
      <c r="V4">
        <f>W4*Parameters!$B$2</f>
        <v>46.929824561403478</v>
      </c>
      <c r="W4">
        <f>SUMIFS(COROP!$X$2:$X$41,COROP!$D$2:$D$41,$A4)*Parameters!$B$5+SUMIFS(COROP!$T$2:$T$41,COROP!$D$2:$D$41,$A4)*Parameters!$F$15*Parameters!$H$15</f>
        <v>105.59210526315783</v>
      </c>
      <c r="X4">
        <f>SUMIFS(COROP!$Y$2:$Y$41,COROP!$D$2:$D$41,$A4)*Parameters!$B$5+SUMIFS(COROP!$U$2:$U$41,COROP!$D$2:$D$41,$A4)*Parameters!$F$15*Parameters!$H$15</f>
        <v>168.74999999999997</v>
      </c>
      <c r="Y4">
        <f>Parameters!$D$20*SUMIFS(COROP!$AA$2:$AA$41,COROP!$D$2:$D$41,$A4)/SUM(COROP!$AA$2:$AA$41)</f>
        <v>2762.9637436762227</v>
      </c>
      <c r="Z4">
        <f>Parameters!$D$20*SUMIFS(COROP!$AA$2:$AA$41,COROP!$D$2:$D$41,$A4)/SUM(COROP!$AA$2:$AA$41)</f>
        <v>2762.9637436762227</v>
      </c>
      <c r="AA4">
        <f>Parameters!$D$20*SUMIFS(COROP!$AA$2:$AA$41,COROP!$D$2:$D$41,$A4)/SUM(COROP!$AA$2:$AA$41)</f>
        <v>2762.9637436762227</v>
      </c>
      <c r="AB4">
        <f>AC4*Parameters!$B$2</f>
        <v>332.19672131147513</v>
      </c>
      <c r="AC4">
        <f>SUMIFS(COROP!$R$2:$R$41,COROP!$D$2:$D$41,$A4)*Parameters!$F$11*(1-Parameters!$H$11)*Parameters!$G$11</f>
        <v>747.4426229508191</v>
      </c>
      <c r="AD4">
        <f>SUMIFS(COROP!$S$2:$S$41,COROP!$D$2:$D$41,$A4)*Parameters!$F$11*(1-Parameters!$H$11)*Parameters!$G$11</f>
        <v>1088.557377049179</v>
      </c>
      <c r="AE4">
        <f>AF4*Parameters!$B$2</f>
        <v>132.4444444444444</v>
      </c>
      <c r="AF4">
        <f>SUMIFS(COROP!$R$2:$R$41,COROP!$D$2:$D$41,$A4)*Parameters!$F$11*(1-Parameters!$H$11)*(1-Parameters!$G$11)</f>
        <v>297.99999999999989</v>
      </c>
      <c r="AG4">
        <f>SUMIFS(COROP!$S$2:$S$41,COROP!$D$2:$D$41,$A4)*Parameters!$F$11*(1-Parameters!$H$11)*(1-Parameters!$G$11)</f>
        <v>433.99999999999966</v>
      </c>
      <c r="AH4">
        <f>AI4*Parameters!$B$2</f>
        <v>99.281936560620622</v>
      </c>
      <c r="AI4">
        <f>SUMIFS(COROP!$V$2:$V$41,COROP!$D$2:$D$41,$A4)*Parameters!$B$5+SUMIFS(COROP!$R$2:$R$41,COROP!$D$2:$D$41,$A4)*Parameters!$F$11*Parameters!$H$11</f>
        <v>223.38435726139642</v>
      </c>
      <c r="AJ4">
        <f>SUMIFS(COROP!$W$2:$W$41,COROP!$D$2:$D$41,$A4)*Parameters!$B$5+SUMIFS(COROP!$S$2:$S$41,COROP!$D$2:$D$41,$A4)*Parameters!$F$11*Parameters!$H$11</f>
        <v>328.4699785150454</v>
      </c>
      <c r="AK4">
        <f>Parameters!$D$21*SUMIFS(COROP!$Z$2:$Z$41,COROP!$D$2:$D$41,$A4)/SUM(COROP!$Z$2:$Z$41)</f>
        <v>5610.5998095842606</v>
      </c>
      <c r="AL4">
        <f>Parameters!$D$21*SUMIFS(COROP!$Z$2:$Z$41,COROP!$D$2:$D$41,$A4)/SUM(COROP!$Z$2:$Z$41)</f>
        <v>5610.5998095842606</v>
      </c>
      <c r="AM4">
        <f>Parameters!$D$21*SUMIFS(COROP!$Z$2:$Z$41,COROP!$D$2:$D$41,$A4)/SUM(COROP!$Z$2:$Z$41)</f>
        <v>5610.5998095842606</v>
      </c>
      <c r="AN4">
        <f>AO4*Parameters!$B$2</f>
        <v>143.91812865497079</v>
      </c>
      <c r="AO4">
        <f>SUMIFS(COROP!$T$2:$T$41,COROP!$D$2:$D$41,$A4)*Parameters!$F$14*(1-Parameters!$H$14)*Parameters!$G$14</f>
        <v>323.81578947368428</v>
      </c>
      <c r="AP4">
        <f>SUMIFS(COROP!$U$2:$U$41,COROP!$D$2:$D$41,$A4)*Parameters!$F$14*(1-Parameters!$H$14)*Parameters!$G$14</f>
        <v>517.50000000000023</v>
      </c>
      <c r="AQ4">
        <f>AR4*Parameters!$B$2</f>
        <v>190.84795321637424</v>
      </c>
      <c r="AR4">
        <f>SUMIFS(COROP!$T$2:$T$41,COROP!$D$2:$D$41,$A4)*Parameters!$F$14*(1-Parameters!$H$14)*(1-Parameters!$G$14)</f>
        <v>429.40789473684208</v>
      </c>
      <c r="AS4">
        <f>SUMIFS(COROP!$U$2:$U$41,COROP!$D$2:$D$41,$A4)*Parameters!$F$14*(1-Parameters!$H$14)*(1-Parameters!$G$14)</f>
        <v>686.25000000000023</v>
      </c>
      <c r="AT4">
        <f>AU4*Parameters!$B$2</f>
        <v>96.988304093567194</v>
      </c>
      <c r="AU4">
        <f>SUMIFS(COROP!$X$2:$X$41,COROP!$D$2:$D$41,$A4)*Parameters!$B$5+SUMIFS(COROP!$T$2:$T$41,COROP!$D$2:$D$41,$A4)*Parameters!$F$14*Parameters!$H$14</f>
        <v>218.22368421052619</v>
      </c>
      <c r="AV4">
        <f>SUMIFS(COROP!$Y$2:$Y$41,COROP!$D$2:$D$41,$A4)*Parameters!$B$5+SUMIFS(COROP!$U$2:$U$41,COROP!$D$2:$D$41,$A4)*Parameters!$F$14*Parameters!$H$14</f>
        <v>348.74999999999994</v>
      </c>
      <c r="AW4">
        <f>Parameters!$D$22*SUMIFS(COROP!$AA$2:$AA$41,COROP!$D$2:$D$41,$A4)/SUM(COROP!$AA$2:$AA$41)</f>
        <v>7490</v>
      </c>
      <c r="AX4">
        <f>Parameters!$D$22*SUMIFS(COROP!$AA$2:$AA$41,COROP!$D$2:$D$41,$A4)/SUM(COROP!$AA$2:$AA$41)</f>
        <v>7490</v>
      </c>
      <c r="AY4">
        <f>Parameters!$D$22*SUMIFS(COROP!$AA$2:$AA$41,COROP!$D$2:$D$41,$A4)/SUM(COROP!$AA$2:$AA$41)</f>
        <v>7490</v>
      </c>
    </row>
    <row r="5" spans="1:51" x14ac:dyDescent="0.25">
      <c r="A5">
        <v>4</v>
      </c>
      <c r="B5" t="s">
        <v>63</v>
      </c>
      <c r="C5">
        <v>3</v>
      </c>
      <c r="D5">
        <f>E5*Parameters!$B$2</f>
        <v>1134.0619307832426</v>
      </c>
      <c r="E5">
        <f>SUMIFS(COROP!$R$2:$R$41,COROP!$D$2:$D$41,$A5)*Parameters!$F$12*(1-Parameters!$H$12)*Parameters!$G$12</f>
        <v>2551.6393442622957</v>
      </c>
      <c r="F5">
        <f>SUMIFS(COROP!$S$2:$S$41,COROP!$D$2:$D$41,$A5)*Parameters!$F$12*(1-Parameters!$H$12)*Parameters!$G$12</f>
        <v>4129.5081967213127</v>
      </c>
      <c r="G5">
        <f>H5*Parameters!$B$2</f>
        <v>375.27140255009101</v>
      </c>
      <c r="H5">
        <f>SUMIFS(COROP!$R$2:$R$41,COROP!$D$2:$D$41,$A5)*Parameters!$F$12*(1-Parameters!$H$12)*(1-Parameters!$G$12)</f>
        <v>844.36065573770486</v>
      </c>
      <c r="I5">
        <f>SUMIFS(COROP!$S$2:$S$41,COROP!$D$2:$D$41,$A5)*Parameters!$F$12*(1-Parameters!$H$12)*(1-Parameters!$G$12)</f>
        <v>1366.4918032786886</v>
      </c>
      <c r="J5">
        <f>K5*Parameters!$B$2</f>
        <v>251.03803964730307</v>
      </c>
      <c r="K5">
        <f>SUMIFS(COROP!$V$2:$V$41,COROP!$D$2:$D$41,$A5)*Parameters!$B$5+SUMIFS(COROP!$R$2:$R$41,COROP!$D$2:$D$41,$A5)*Parameters!$F$12*Parameters!$H$12</f>
        <v>564.83558920643191</v>
      </c>
      <c r="L5">
        <f>SUMIFS(COROP!$W$2:$W$41,COROP!$D$2:$D$41,$A5)*Parameters!$B$5+SUMIFS(COROP!$S$2:$S$41,COROP!$D$2:$D$41,$A5)*Parameters!$F$12*Parameters!$H$12</f>
        <v>842.74578780512843</v>
      </c>
      <c r="M5">
        <f>Parameters!$D$19*SUMIFS(COROP!$Z$2:$Z$41,COROP!$D$2:$D$41,$A5)/SUM(COROP!$Z$2:$Z$41)</f>
        <v>2788.0038083148206</v>
      </c>
      <c r="N5">
        <f>Parameters!$D$19*SUMIFS(COROP!$Z$2:$Z$41,COROP!$D$2:$D$41,$A5)/SUM(COROP!$Z$2:$Z$41)</f>
        <v>2788.0038083148206</v>
      </c>
      <c r="O5">
        <f>Parameters!$D$19*SUMIFS(COROP!$Z$2:$Z$41,COROP!$D$2:$D$41,$A5)/SUM(COROP!$Z$2:$Z$41)</f>
        <v>2788.0038083148206</v>
      </c>
      <c r="P5">
        <f>Q5*Parameters!$B$2</f>
        <v>328.1871345029241</v>
      </c>
      <c r="Q5">
        <f>SUMIFS(COROP!$T$2:$T$41,COROP!$D$2:$D$41,$A5)*Parameters!$F$15*(1-Parameters!$H$15)*Parameters!$G$15</f>
        <v>738.4210526315793</v>
      </c>
      <c r="R5">
        <f>SUMIFS(COROP!$U$2:$U$41,COROP!$D$2:$D$41,$A5)*Parameters!$F$15*(1-Parameters!$H$15)*Parameters!$G$15</f>
        <v>1135.7236842105265</v>
      </c>
      <c r="S5">
        <f>T5*Parameters!$B$2</f>
        <v>489.59064327485356</v>
      </c>
      <c r="T5">
        <f>SUMIFS(COROP!$T$2:$T$41,COROP!$D$2:$D$41,$A5)*Parameters!$F$15*(1-Parameters!$H$15)*(1-Parameters!$G$15)</f>
        <v>1101.5789473684206</v>
      </c>
      <c r="U5">
        <f>SUMIFS(COROP!$U$2:$U$41,COROP!$D$2:$D$41,$A5)*Parameters!$F$15*(1-Parameters!$H$15)*(1-Parameters!$G$15)</f>
        <v>1694.2763157894726</v>
      </c>
      <c r="V5">
        <f>W5*Parameters!$B$2</f>
        <v>136.65643662752464</v>
      </c>
      <c r="W5">
        <f>SUMIFS(COROP!$X$2:$X$41,COROP!$D$2:$D$41,$A5)*Parameters!$B$5+SUMIFS(COROP!$T$2:$T$41,COROP!$D$2:$D$41,$A5)*Parameters!$F$15*Parameters!$H$15</f>
        <v>307.47698241193046</v>
      </c>
      <c r="X5">
        <f>SUMIFS(COROP!$Y$2:$Y$41,COROP!$D$2:$D$41,$A5)*Parameters!$B$5+SUMIFS(COROP!$U$2:$U$41,COROP!$D$2:$D$41,$A5)*Parameters!$F$15*Parameters!$H$15</f>
        <v>435.15007346239003</v>
      </c>
      <c r="Y5">
        <f>Parameters!$D$20*SUMIFS(COROP!$AA$2:$AA$41,COROP!$D$2:$D$41,$A5)/SUM(COROP!$AA$2:$AA$41)</f>
        <v>2785.0969645868472</v>
      </c>
      <c r="Z5">
        <f>Parameters!$D$20*SUMIFS(COROP!$AA$2:$AA$41,COROP!$D$2:$D$41,$A5)/SUM(COROP!$AA$2:$AA$41)</f>
        <v>2785.0969645868472</v>
      </c>
      <c r="AA5">
        <f>Parameters!$D$20*SUMIFS(COROP!$AA$2:$AA$41,COROP!$D$2:$D$41,$A5)/SUM(COROP!$AA$2:$AA$41)</f>
        <v>2785.0969645868472</v>
      </c>
      <c r="AB5">
        <f>AC5*Parameters!$B$2</f>
        <v>630.95081967213082</v>
      </c>
      <c r="AC5">
        <f>SUMIFS(COROP!$R$2:$R$41,COROP!$D$2:$D$41,$A5)*Parameters!$F$11*(1-Parameters!$H$11)*Parameters!$G$11</f>
        <v>1419.6393442622943</v>
      </c>
      <c r="AD5">
        <f>SUMIFS(COROP!$S$2:$S$41,COROP!$D$2:$D$41,$A5)*Parameters!$F$11*(1-Parameters!$H$11)*Parameters!$G$11</f>
        <v>2297.5081967213109</v>
      </c>
      <c r="AE5">
        <f>AF5*Parameters!$B$2</f>
        <v>251.55555555555554</v>
      </c>
      <c r="AF5">
        <f>SUMIFS(COROP!$R$2:$R$41,COROP!$D$2:$D$41,$A5)*Parameters!$F$11*(1-Parameters!$H$11)*(1-Parameters!$G$11)</f>
        <v>566</v>
      </c>
      <c r="AG5">
        <f>SUMIFS(COROP!$S$2:$S$41,COROP!$D$2:$D$41,$A5)*Parameters!$F$11*(1-Parameters!$H$11)*(1-Parameters!$G$11)</f>
        <v>916.00000000000023</v>
      </c>
      <c r="AH5">
        <f>AI5*Parameters!$B$2</f>
        <v>317.01982471105532</v>
      </c>
      <c r="AI5">
        <f>SUMIFS(COROP!$V$2:$V$41,COROP!$D$2:$D$41,$A5)*Parameters!$B$5+SUMIFS(COROP!$R$2:$R$41,COROP!$D$2:$D$41,$A5)*Parameters!$F$11*Parameters!$H$11</f>
        <v>713.29460559987456</v>
      </c>
      <c r="AJ5">
        <f>SUMIFS(COROP!$W$2:$W$41,COROP!$D$2:$D$41,$A5)*Parameters!$B$5+SUMIFS(COROP!$S$2:$S$41,COROP!$D$2:$D$41,$A5)*Parameters!$F$11*Parameters!$H$11</f>
        <v>1083.0080828870957</v>
      </c>
      <c r="AK5">
        <f>Parameters!$D$21*SUMIFS(COROP!$Z$2:$Z$41,COROP!$D$2:$D$41,$A5)/SUM(COROP!$Z$2:$Z$41)</f>
        <v>5655.6648682957793</v>
      </c>
      <c r="AL5">
        <f>Parameters!$D$21*SUMIFS(COROP!$Z$2:$Z$41,COROP!$D$2:$D$41,$A5)/SUM(COROP!$Z$2:$Z$41)</f>
        <v>5655.6648682957793</v>
      </c>
      <c r="AM5">
        <f>Parameters!$D$21*SUMIFS(COROP!$Z$2:$Z$41,COROP!$D$2:$D$41,$A5)/SUM(COROP!$Z$2:$Z$41)</f>
        <v>5655.6648682957793</v>
      </c>
      <c r="AN5">
        <f>AO5*Parameters!$B$2</f>
        <v>247.48538011695931</v>
      </c>
      <c r="AO5">
        <f>SUMIFS(COROP!$T$2:$T$41,COROP!$D$2:$D$41,$A5)*Parameters!$F$14*(1-Parameters!$H$14)*Parameters!$G$14</f>
        <v>556.84210526315849</v>
      </c>
      <c r="AP5">
        <f>SUMIFS(COROP!$U$2:$U$41,COROP!$D$2:$D$41,$A5)*Parameters!$F$14*(1-Parameters!$H$14)*Parameters!$G$14</f>
        <v>856.44736842105317</v>
      </c>
      <c r="AQ5">
        <f>AR5*Parameters!$B$2</f>
        <v>328.18713450292421</v>
      </c>
      <c r="AR5">
        <f>SUMIFS(COROP!$T$2:$T$41,COROP!$D$2:$D$41,$A5)*Parameters!$F$14*(1-Parameters!$H$14)*(1-Parameters!$G$14)</f>
        <v>738.42105263157953</v>
      </c>
      <c r="AS5">
        <f>SUMIFS(COROP!$U$2:$U$41,COROP!$D$2:$D$41,$A5)*Parameters!$F$14*(1-Parameters!$H$14)*(1-Parameters!$G$14)</f>
        <v>1135.7236842105267</v>
      </c>
      <c r="AT5">
        <f>AU5*Parameters!$B$2</f>
        <v>222.73830797255391</v>
      </c>
      <c r="AU5">
        <f>SUMIFS(COROP!$X$2:$X$41,COROP!$D$2:$D$41,$A5)*Parameters!$B$5+SUMIFS(COROP!$T$2:$T$41,COROP!$D$2:$D$41,$A5)*Parameters!$F$14*Parameters!$H$14</f>
        <v>501.16119293824636</v>
      </c>
      <c r="AV5">
        <f>SUMIFS(COROP!$Y$2:$Y$41,COROP!$D$2:$D$41,$A5)*Parameters!$B$5+SUMIFS(COROP!$U$2:$U$41,COROP!$D$2:$D$41,$A5)*Parameters!$F$14*Parameters!$H$14</f>
        <v>733.04481030449529</v>
      </c>
      <c r="AW5">
        <f>Parameters!$D$22*SUMIFS(COROP!$AA$2:$AA$41,COROP!$D$2:$D$41,$A5)/SUM(COROP!$AA$2:$AA$41)</f>
        <v>7550.0000000000009</v>
      </c>
      <c r="AX5">
        <f>Parameters!$D$22*SUMIFS(COROP!$AA$2:$AA$41,COROP!$D$2:$D$41,$A5)/SUM(COROP!$AA$2:$AA$41)</f>
        <v>7550.0000000000009</v>
      </c>
      <c r="AY5">
        <f>Parameters!$D$22*SUMIFS(COROP!$AA$2:$AA$41,COROP!$D$2:$D$41,$A5)/SUM(COROP!$AA$2:$AA$41)</f>
        <v>7550.0000000000009</v>
      </c>
    </row>
    <row r="6" spans="1:51" x14ac:dyDescent="0.25">
      <c r="A6">
        <v>5</v>
      </c>
      <c r="B6" t="s">
        <v>67</v>
      </c>
      <c r="C6">
        <v>2</v>
      </c>
      <c r="D6">
        <f>E6*Parameters!$B$2</f>
        <v>2135.8834244080149</v>
      </c>
      <c r="E6">
        <f>SUMIFS(COROP!$R$2:$R$41,COROP!$D$2:$D$41,$A6)*Parameters!$F$12*(1-Parameters!$H$12)*Parameters!$G$12</f>
        <v>4805.7377049180341</v>
      </c>
      <c r="F6">
        <f>SUMIFS(COROP!$S$2:$S$41,COROP!$D$2:$D$41,$A6)*Parameters!$F$12*(1-Parameters!$H$12)*Parameters!$G$12</f>
        <v>9097.5409836065573</v>
      </c>
      <c r="G6">
        <f>H6*Parameters!$B$2</f>
        <v>706.78324225865208</v>
      </c>
      <c r="H6">
        <f>SUMIFS(COROP!$R$2:$R$41,COROP!$D$2:$D$41,$A6)*Parameters!$F$12*(1-Parameters!$H$12)*(1-Parameters!$G$12)</f>
        <v>1590.2622950819673</v>
      </c>
      <c r="I6">
        <f>SUMIFS(COROP!$S$2:$S$41,COROP!$D$2:$D$41,$A6)*Parameters!$F$12*(1-Parameters!$H$12)*(1-Parameters!$G$12)</f>
        <v>3010.4590163934417</v>
      </c>
      <c r="J6">
        <f>K6*Parameters!$B$2</f>
        <v>779.96539310464527</v>
      </c>
      <c r="K6">
        <f>SUMIFS(COROP!$V$2:$V$41,COROP!$D$2:$D$41,$A6)*Parameters!$B$5+SUMIFS(COROP!$R$2:$R$41,COROP!$D$2:$D$41,$A6)*Parameters!$F$12*Parameters!$H$12</f>
        <v>1754.922134485452</v>
      </c>
      <c r="L6">
        <f>SUMIFS(COROP!$W$2:$W$41,COROP!$D$2:$D$41,$A6)*Parameters!$B$5+SUMIFS(COROP!$S$2:$S$41,COROP!$D$2:$D$41,$A6)*Parameters!$F$12*Parameters!$H$12</f>
        <v>2654.4815375140251</v>
      </c>
      <c r="M6">
        <f>Parameters!$D$19*SUMIFS(COROP!$Z$2:$Z$41,COROP!$D$2:$D$41,$A6)/SUM(COROP!$Z$2:$Z$41)</f>
        <v>4502.2744102401357</v>
      </c>
      <c r="N6">
        <f>Parameters!$D$19*SUMIFS(COROP!$Z$2:$Z$41,COROP!$D$2:$D$41,$A6)/SUM(COROP!$Z$2:$Z$41)</f>
        <v>4502.2744102401357</v>
      </c>
      <c r="O6">
        <f>Parameters!$D$19*SUMIFS(COROP!$Z$2:$Z$41,COROP!$D$2:$D$41,$A6)/SUM(COROP!$Z$2:$Z$41)</f>
        <v>4502.2744102401357</v>
      </c>
      <c r="P6">
        <f>Q6*Parameters!$B$2</f>
        <v>328.18713450292421</v>
      </c>
      <c r="Q6">
        <f>SUMIFS(COROP!$T$2:$T$41,COROP!$D$2:$D$41,$A6)*Parameters!$F$15*(1-Parameters!$H$15)*Parameters!$G$15</f>
        <v>738.42105263157953</v>
      </c>
      <c r="R6">
        <f>SUMIFS(COROP!$U$2:$U$41,COROP!$D$2:$D$41,$A6)*Parameters!$F$15*(1-Parameters!$H$15)*Parameters!$G$15</f>
        <v>1272.1710526315796</v>
      </c>
      <c r="S6">
        <f>T6*Parameters!$B$2</f>
        <v>489.59064327485379</v>
      </c>
      <c r="T6">
        <f>SUMIFS(COROP!$T$2:$T$41,COROP!$D$2:$D$41,$A6)*Parameters!$F$15*(1-Parameters!$H$15)*(1-Parameters!$G$15)</f>
        <v>1101.578947368421</v>
      </c>
      <c r="U6">
        <f>SUMIFS(COROP!$U$2:$U$41,COROP!$D$2:$D$41,$A6)*Parameters!$F$15*(1-Parameters!$H$15)*(1-Parameters!$G$15)</f>
        <v>1897.8289473684204</v>
      </c>
      <c r="V6">
        <f>W6*Parameters!$B$2</f>
        <v>325.83655277755992</v>
      </c>
      <c r="W6">
        <f>SUMIFS(COROP!$X$2:$X$41,COROP!$D$2:$D$41,$A6)*Parameters!$B$5+SUMIFS(COROP!$T$2:$T$41,COROP!$D$2:$D$41,$A6)*Parameters!$F$15*Parameters!$H$15</f>
        <v>733.13224374950983</v>
      </c>
      <c r="X6">
        <f>SUMIFS(COROP!$Y$2:$Y$41,COROP!$D$2:$D$41,$A6)*Parameters!$B$5+SUMIFS(COROP!$U$2:$U$41,COROP!$D$2:$D$41,$A6)*Parameters!$F$15*Parameters!$H$15</f>
        <v>798.43565396481449</v>
      </c>
      <c r="Y6">
        <f>Parameters!$D$20*SUMIFS(COROP!$AA$2:$AA$41,COROP!$D$2:$D$41,$A6)/SUM(COROP!$AA$2:$AA$41)</f>
        <v>4518.865935919056</v>
      </c>
      <c r="Z6">
        <f>Parameters!$D$20*SUMIFS(COROP!$AA$2:$AA$41,COROP!$D$2:$D$41,$A6)/SUM(COROP!$AA$2:$AA$41)</f>
        <v>4518.865935919056</v>
      </c>
      <c r="AA6">
        <f>Parameters!$D$20*SUMIFS(COROP!$AA$2:$AA$41,COROP!$D$2:$D$41,$A6)/SUM(COROP!$AA$2:$AA$41)</f>
        <v>4518.865935919056</v>
      </c>
      <c r="AB6">
        <f>AC6*Parameters!$B$2</f>
        <v>1188.3278688524588</v>
      </c>
      <c r="AC6">
        <f>SUMIFS(COROP!$R$2:$R$41,COROP!$D$2:$D$41,$A6)*Parameters!$F$11*(1-Parameters!$H$11)*Parameters!$G$11</f>
        <v>2673.7377049180323</v>
      </c>
      <c r="AD6">
        <f>SUMIFS(COROP!$S$2:$S$41,COROP!$D$2:$D$41,$A6)*Parameters!$F$11*(1-Parameters!$H$11)*Parameters!$G$11</f>
        <v>5061.5409836065546</v>
      </c>
      <c r="AE6">
        <f>AF6*Parameters!$B$2</f>
        <v>473.77777777777783</v>
      </c>
      <c r="AF6">
        <f>SUMIFS(COROP!$R$2:$R$41,COROP!$D$2:$D$41,$A6)*Parameters!$F$11*(1-Parameters!$H$11)*(1-Parameters!$G$11)</f>
        <v>1066.0000000000002</v>
      </c>
      <c r="AG6">
        <f>SUMIFS(COROP!$S$2:$S$41,COROP!$D$2:$D$41,$A6)*Parameters!$F$11*(1-Parameters!$H$11)*(1-Parameters!$G$11)</f>
        <v>2017.9999999999998</v>
      </c>
      <c r="AH6">
        <f>AI6*Parameters!$B$2</f>
        <v>904.23497416111161</v>
      </c>
      <c r="AI6">
        <f>SUMIFS(COROP!$V$2:$V$41,COROP!$D$2:$D$41,$A6)*Parameters!$B$5+SUMIFS(COROP!$R$2:$R$41,COROP!$D$2:$D$41,$A6)*Parameters!$F$11*Parameters!$H$11</f>
        <v>2034.5286918625013</v>
      </c>
      <c r="AJ6">
        <f>SUMIFS(COROP!$W$2:$W$41,COROP!$D$2:$D$41,$A6)*Parameters!$B$5+SUMIFS(COROP!$S$2:$S$41,COROP!$D$2:$D$41,$A6)*Parameters!$F$11*Parameters!$H$11</f>
        <v>3183.7930129238612</v>
      </c>
      <c r="AK6">
        <f>Parameters!$D$21*SUMIFS(COROP!$Z$2:$Z$41,COROP!$D$2:$D$41,$A6)/SUM(COROP!$Z$2:$Z$41)</f>
        <v>9133.1852322014183</v>
      </c>
      <c r="AL6">
        <f>Parameters!$D$21*SUMIFS(COROP!$Z$2:$Z$41,COROP!$D$2:$D$41,$A6)/SUM(COROP!$Z$2:$Z$41)</f>
        <v>9133.1852322014183</v>
      </c>
      <c r="AM6">
        <f>Parameters!$D$21*SUMIFS(COROP!$Z$2:$Z$41,COROP!$D$2:$D$41,$A6)/SUM(COROP!$Z$2:$Z$41)</f>
        <v>9133.1852322014183</v>
      </c>
      <c r="AN6">
        <f>AO6*Parameters!$B$2</f>
        <v>247.48538011695936</v>
      </c>
      <c r="AO6">
        <f>SUMIFS(COROP!$T$2:$T$41,COROP!$D$2:$D$41,$A6)*Parameters!$F$14*(1-Parameters!$H$14)*Parameters!$G$14</f>
        <v>556.8421052631586</v>
      </c>
      <c r="AP6">
        <f>SUMIFS(COROP!$U$2:$U$41,COROP!$D$2:$D$41,$A6)*Parameters!$F$14*(1-Parameters!$H$14)*Parameters!$G$14</f>
        <v>959.34210526315871</v>
      </c>
      <c r="AQ6">
        <f>AR6*Parameters!$B$2</f>
        <v>328.18713450292427</v>
      </c>
      <c r="AR6">
        <f>SUMIFS(COROP!$T$2:$T$41,COROP!$D$2:$D$41,$A6)*Parameters!$F$14*(1-Parameters!$H$14)*(1-Parameters!$G$14)</f>
        <v>738.42105263157964</v>
      </c>
      <c r="AS6">
        <f>SUMIFS(COROP!$U$2:$U$41,COROP!$D$2:$D$41,$A6)*Parameters!$F$14*(1-Parameters!$H$14)*(1-Parameters!$G$14)</f>
        <v>1272.1710526315799</v>
      </c>
      <c r="AT6">
        <f>AU6*Parameters!$B$2</f>
        <v>411.91842412258916</v>
      </c>
      <c r="AU6">
        <f>SUMIFS(COROP!$X$2:$X$41,COROP!$D$2:$D$41,$A6)*Parameters!$B$5+SUMIFS(COROP!$T$2:$T$41,COROP!$D$2:$D$41,$A6)*Parameters!$F$14*Parameters!$H$14</f>
        <v>926.81645427582566</v>
      </c>
      <c r="AV6">
        <f>SUMIFS(COROP!$Y$2:$Y$41,COROP!$D$2:$D$41,$A6)*Parameters!$B$5+SUMIFS(COROP!$U$2:$U$41,COROP!$D$2:$D$41,$A6)*Parameters!$F$14*Parameters!$H$14</f>
        <v>1132.1198644911303</v>
      </c>
      <c r="AW6">
        <f>Parameters!$D$22*SUMIFS(COROP!$AA$2:$AA$41,COROP!$D$2:$D$41,$A6)/SUM(COROP!$AA$2:$AA$41)</f>
        <v>12250.000000000002</v>
      </c>
      <c r="AX6">
        <f>Parameters!$D$22*SUMIFS(COROP!$AA$2:$AA$41,COROP!$D$2:$D$41,$A6)/SUM(COROP!$AA$2:$AA$41)</f>
        <v>12250.000000000002</v>
      </c>
      <c r="AY6">
        <f>Parameters!$D$22*SUMIFS(COROP!$AA$2:$AA$41,COROP!$D$2:$D$41,$A6)/SUM(COROP!$AA$2:$AA$41)</f>
        <v>12250.000000000002</v>
      </c>
    </row>
    <row r="7" spans="1:51" x14ac:dyDescent="0.25">
      <c r="A7">
        <v>6</v>
      </c>
      <c r="B7" t="s">
        <v>71</v>
      </c>
      <c r="C7">
        <v>1</v>
      </c>
      <c r="D7">
        <f>E7*Parameters!$B$2</f>
        <v>1482.6958105646629</v>
      </c>
      <c r="E7">
        <f>SUMIFS(COROP!$R$2:$R$41,COROP!$D$2:$D$41,$A7)*Parameters!$F$12*(1-Parameters!$H$12)*Parameters!$G$12</f>
        <v>3336.0655737704915</v>
      </c>
      <c r="F7">
        <f>SUMIFS(COROP!$S$2:$S$41,COROP!$D$2:$D$41,$A7)*Parameters!$F$12*(1-Parameters!$H$12)*Parameters!$G$12</f>
        <v>6897.5409836065564</v>
      </c>
      <c r="G7">
        <f>H7*Parameters!$B$2</f>
        <v>490.63752276867001</v>
      </c>
      <c r="H7">
        <f>SUMIFS(COROP!$R$2:$R$41,COROP!$D$2:$D$41,$A7)*Parameters!$F$12*(1-Parameters!$H$12)*(1-Parameters!$G$12)</f>
        <v>1103.9344262295076</v>
      </c>
      <c r="I7">
        <f>SUMIFS(COROP!$S$2:$S$41,COROP!$D$2:$D$41,$A7)*Parameters!$F$12*(1-Parameters!$H$12)*(1-Parameters!$G$12)</f>
        <v>2282.4590163934417</v>
      </c>
      <c r="J7">
        <f>K7*Parameters!$B$2</f>
        <v>933.517093954134</v>
      </c>
      <c r="K7">
        <f>SUMIFS(COROP!$V$2:$V$41,COROP!$D$2:$D$41,$A7)*Parameters!$B$5+SUMIFS(COROP!$R$2:$R$41,COROP!$D$2:$D$41,$A7)*Parameters!$F$12*Parameters!$H$12</f>
        <v>2100.4134613968017</v>
      </c>
      <c r="L7">
        <f>SUMIFS(COROP!$W$2:$W$41,COROP!$D$2:$D$41,$A7)*Parameters!$B$5+SUMIFS(COROP!$S$2:$S$41,COROP!$D$2:$D$41,$A7)*Parameters!$F$12*Parameters!$H$12</f>
        <v>3253.8988806197931</v>
      </c>
      <c r="M7">
        <f>Parameters!$D$19*SUMIFS(COROP!$Z$2:$Z$41,COROP!$D$2:$D$41,$A7)/SUM(COROP!$Z$2:$Z$41)</f>
        <v>1240.3469797947741</v>
      </c>
      <c r="N7">
        <f>Parameters!$D$19*SUMIFS(COROP!$Z$2:$Z$41,COROP!$D$2:$D$41,$A7)/SUM(COROP!$Z$2:$Z$41)</f>
        <v>1240.3469797947741</v>
      </c>
      <c r="O7">
        <f>Parameters!$D$19*SUMIFS(COROP!$Z$2:$Z$41,COROP!$D$2:$D$41,$A7)/SUM(COROP!$Z$2:$Z$41)</f>
        <v>1240.3469797947741</v>
      </c>
      <c r="P7">
        <f>Q7*Parameters!$B$2</f>
        <v>258.62573099415192</v>
      </c>
      <c r="Q7">
        <f>SUMIFS(COROP!$T$2:$T$41,COROP!$D$2:$D$41,$A7)*Parameters!$F$15*(1-Parameters!$H$15)*Parameters!$G$15</f>
        <v>581.90789473684185</v>
      </c>
      <c r="R7">
        <f>SUMIFS(COROP!$U$2:$U$41,COROP!$D$2:$D$41,$A7)*Parameters!$F$15*(1-Parameters!$H$15)*Parameters!$G$15</f>
        <v>838.74999999999875</v>
      </c>
      <c r="S7">
        <f>T7*Parameters!$B$2</f>
        <v>385.81871345029191</v>
      </c>
      <c r="T7">
        <f>SUMIFS(COROP!$T$2:$T$41,COROP!$D$2:$D$41,$A7)*Parameters!$F$15*(1-Parameters!$H$15)*(1-Parameters!$G$15)</f>
        <v>868.09210526315678</v>
      </c>
      <c r="U7">
        <f>SUMIFS(COROP!$U$2:$U$41,COROP!$D$2:$D$41,$A7)*Parameters!$F$15*(1-Parameters!$H$15)*(1-Parameters!$G$15)</f>
        <v>1251.249999999997</v>
      </c>
      <c r="V7">
        <f>W7*Parameters!$B$2</f>
        <v>436.62770617180161</v>
      </c>
      <c r="W7">
        <f>SUMIFS(COROP!$X$2:$X$41,COROP!$D$2:$D$41,$A7)*Parameters!$B$5+SUMIFS(COROP!$T$2:$T$41,COROP!$D$2:$D$41,$A7)*Parameters!$F$15*Parameters!$H$15</f>
        <v>982.4123388865537</v>
      </c>
      <c r="X7">
        <f>SUMIFS(COROP!$Y$2:$Y$41,COROP!$D$2:$D$41,$A7)*Parameters!$B$5+SUMIFS(COROP!$U$2:$U$41,COROP!$D$2:$D$41,$A7)*Parameters!$F$15*Parameters!$H$15</f>
        <v>1105.5216788822095</v>
      </c>
      <c r="Y7">
        <f>Parameters!$D$20*SUMIFS(COROP!$AA$2:$AA$41,COROP!$D$2:$D$41,$A7)/SUM(COROP!$AA$2:$AA$41)</f>
        <v>1254.2158516020236</v>
      </c>
      <c r="Z7">
        <f>Parameters!$D$20*SUMIFS(COROP!$AA$2:$AA$41,COROP!$D$2:$D$41,$A7)/SUM(COROP!$AA$2:$AA$41)</f>
        <v>1254.2158516020236</v>
      </c>
      <c r="AA7">
        <f>Parameters!$D$20*SUMIFS(COROP!$AA$2:$AA$41,COROP!$D$2:$D$41,$A7)/SUM(COROP!$AA$2:$AA$41)</f>
        <v>1254.2158516020236</v>
      </c>
      <c r="AB7">
        <f>AC7*Parameters!$B$2</f>
        <v>824.91803278688451</v>
      </c>
      <c r="AC7">
        <f>SUMIFS(COROP!$R$2:$R$41,COROP!$D$2:$D$41,$A7)*Parameters!$F$11*(1-Parameters!$H$11)*Parameters!$G$11</f>
        <v>1856.0655737704903</v>
      </c>
      <c r="AD7">
        <f>SUMIFS(COROP!$S$2:$S$41,COROP!$D$2:$D$41,$A7)*Parameters!$F$11*(1-Parameters!$H$11)*Parameters!$G$11</f>
        <v>3837.5409836065542</v>
      </c>
      <c r="AE7">
        <f>AF7*Parameters!$B$2</f>
        <v>328.88888888888874</v>
      </c>
      <c r="AF7">
        <f>SUMIFS(COROP!$R$2:$R$41,COROP!$D$2:$D$41,$A7)*Parameters!$F$11*(1-Parameters!$H$11)*(1-Parameters!$G$11)</f>
        <v>739.99999999999977</v>
      </c>
      <c r="AG7">
        <f>SUMIFS(COROP!$S$2:$S$41,COROP!$D$2:$D$41,$A7)*Parameters!$F$11*(1-Parameters!$H$11)*(1-Parameters!$G$11)</f>
        <v>1529.9999999999993</v>
      </c>
      <c r="AH7">
        <f>AI7*Parameters!$B$2</f>
        <v>1019.7830320233509</v>
      </c>
      <c r="AI7">
        <f>SUMIFS(COROP!$V$2:$V$41,COROP!$D$2:$D$41,$A7)*Parameters!$B$5+SUMIFS(COROP!$R$2:$R$41,COROP!$D$2:$D$41,$A7)*Parameters!$F$11*Parameters!$H$11</f>
        <v>2294.5118220525396</v>
      </c>
      <c r="AJ7">
        <f>SUMIFS(COROP!$W$2:$W$41,COROP!$D$2:$D$41,$A7)*Parameters!$B$5+SUMIFS(COROP!$S$2:$S$41,COROP!$D$2:$D$41,$A7)*Parameters!$F$11*Parameters!$H$11</f>
        <v>3655.2103560296291</v>
      </c>
      <c r="AK7">
        <f>Parameters!$D$21*SUMIFS(COROP!$Z$2:$Z$41,COROP!$D$2:$D$41,$A7)/SUM(COROP!$Z$2:$Z$41)</f>
        <v>2516.132444726542</v>
      </c>
      <c r="AL7">
        <f>Parameters!$D$21*SUMIFS(COROP!$Z$2:$Z$41,COROP!$D$2:$D$41,$A7)/SUM(COROP!$Z$2:$Z$41)</f>
        <v>2516.132444726542</v>
      </c>
      <c r="AM7">
        <f>Parameters!$D$21*SUMIFS(COROP!$Z$2:$Z$41,COROP!$D$2:$D$41,$A7)/SUM(COROP!$Z$2:$Z$41)</f>
        <v>2516.132444726542</v>
      </c>
      <c r="AN7">
        <f>AO7*Parameters!$B$2</f>
        <v>195.02923976608184</v>
      </c>
      <c r="AO7">
        <f>SUMIFS(COROP!$T$2:$T$41,COROP!$D$2:$D$41,$A7)*Parameters!$F$14*(1-Parameters!$H$14)*Parameters!$G$14</f>
        <v>438.81578947368416</v>
      </c>
      <c r="AP7">
        <f>SUMIFS(COROP!$U$2:$U$41,COROP!$D$2:$D$41,$A7)*Parameters!$F$14*(1-Parameters!$H$14)*Parameters!$G$14</f>
        <v>632.49999999999932</v>
      </c>
      <c r="AQ7">
        <f>AR7*Parameters!$B$2</f>
        <v>258.62573099415198</v>
      </c>
      <c r="AR7">
        <f>SUMIFS(COROP!$T$2:$T$41,COROP!$D$2:$D$41,$A7)*Parameters!$F$14*(1-Parameters!$H$14)*(1-Parameters!$G$14)</f>
        <v>581.90789473684197</v>
      </c>
      <c r="AS7">
        <f>SUMIFS(COROP!$U$2:$U$41,COROP!$D$2:$D$41,$A7)*Parameters!$F$14*(1-Parameters!$H$14)*(1-Parameters!$G$14)</f>
        <v>838.74999999999886</v>
      </c>
      <c r="AT7">
        <f>AU7*Parameters!$B$2</f>
        <v>504.46396348174312</v>
      </c>
      <c r="AU7">
        <f>SUMIFS(COROP!$X$2:$X$41,COROP!$D$2:$D$41,$A7)*Parameters!$B$5+SUMIFS(COROP!$T$2:$T$41,COROP!$D$2:$D$41,$A7)*Parameters!$F$14*Parameters!$H$14</f>
        <v>1135.043917833922</v>
      </c>
      <c r="AV7">
        <f>SUMIFS(COROP!$Y$2:$Y$41,COROP!$D$2:$D$41,$A7)*Parameters!$B$5+SUMIFS(COROP!$U$2:$U$41,COROP!$D$2:$D$41,$A7)*Parameters!$F$14*Parameters!$H$14</f>
        <v>1325.521678882209</v>
      </c>
      <c r="AW7">
        <f>Parameters!$D$22*SUMIFS(COROP!$AA$2:$AA$41,COROP!$D$2:$D$41,$A7)/SUM(COROP!$AA$2:$AA$41)</f>
        <v>3400</v>
      </c>
      <c r="AX7">
        <f>Parameters!$D$22*SUMIFS(COROP!$AA$2:$AA$41,COROP!$D$2:$D$41,$A7)/SUM(COROP!$AA$2:$AA$41)</f>
        <v>3400</v>
      </c>
      <c r="AY7">
        <f>Parameters!$D$22*SUMIFS(COROP!$AA$2:$AA$41,COROP!$D$2:$D$41,$A7)/SUM(COROP!$AA$2:$AA$41)</f>
        <v>3400</v>
      </c>
    </row>
    <row r="8" spans="1:51" x14ac:dyDescent="0.25">
      <c r="A8">
        <v>7</v>
      </c>
      <c r="B8" t="s">
        <v>73</v>
      </c>
      <c r="C8">
        <v>1</v>
      </c>
      <c r="D8">
        <f>E8*Parameters!$B$2</f>
        <v>2171.9489981785055</v>
      </c>
      <c r="E8">
        <f>SUMIFS(COROP!$R$2:$R$41,COROP!$D$2:$D$41,$A8)*Parameters!$F$12*(1-Parameters!$H$12)*Parameters!$G$12</f>
        <v>4886.885245901638</v>
      </c>
      <c r="F8">
        <f>SUMIFS(COROP!$S$2:$S$41,COROP!$D$2:$D$41,$A8)*Parameters!$F$12*(1-Parameters!$H$12)*Parameters!$G$12</f>
        <v>7880.3278688524597</v>
      </c>
      <c r="G8">
        <f>H8*Parameters!$B$2</f>
        <v>718.7176684881598</v>
      </c>
      <c r="H8">
        <f>SUMIFS(COROP!$R$2:$R$41,COROP!$D$2:$D$41,$A8)*Parameters!$F$12*(1-Parameters!$H$12)*(1-Parameters!$G$12)</f>
        <v>1617.1147540983598</v>
      </c>
      <c r="I8">
        <f>SUMIFS(COROP!$S$2:$S$41,COROP!$D$2:$D$41,$A8)*Parameters!$F$12*(1-Parameters!$H$12)*(1-Parameters!$G$12)</f>
        <v>2607.6721311475403</v>
      </c>
      <c r="J8">
        <f>K8*Parameters!$B$2</f>
        <v>1821.0909907055084</v>
      </c>
      <c r="K8">
        <f>SUMIFS(COROP!$V$2:$V$41,COROP!$D$2:$D$41,$A8)*Parameters!$B$5+SUMIFS(COROP!$R$2:$R$41,COROP!$D$2:$D$41,$A8)*Parameters!$F$12*Parameters!$H$12</f>
        <v>4097.4547290873943</v>
      </c>
      <c r="L8">
        <f>SUMIFS(COROP!$W$2:$W$41,COROP!$D$2:$D$41,$A8)*Parameters!$B$5+SUMIFS(COROP!$S$2:$S$41,COROP!$D$2:$D$41,$A8)*Parameters!$F$12*Parameters!$H$12</f>
        <v>5519.7137680470787</v>
      </c>
      <c r="M8">
        <f>Parameters!$D$19*SUMIFS(COROP!$Z$2:$Z$41,COROP!$D$2:$D$41,$A8)/SUM(COROP!$Z$2:$Z$41)</f>
        <v>5361.2609753517399</v>
      </c>
      <c r="N8">
        <f>Parameters!$D$19*SUMIFS(COROP!$Z$2:$Z$41,COROP!$D$2:$D$41,$A8)/SUM(COROP!$Z$2:$Z$41)</f>
        <v>5361.2609753517399</v>
      </c>
      <c r="O8">
        <f>Parameters!$D$19*SUMIFS(COROP!$Z$2:$Z$41,COROP!$D$2:$D$41,$A8)/SUM(COROP!$Z$2:$Z$41)</f>
        <v>5361.2609753517399</v>
      </c>
      <c r="P8">
        <f>Q8*Parameters!$B$2</f>
        <v>424.50292397660786</v>
      </c>
      <c r="Q8">
        <f>SUMIFS(COROP!$T$2:$T$41,COROP!$D$2:$D$41,$A8)*Parameters!$F$15*(1-Parameters!$H$15)*Parameters!$G$15</f>
        <v>955.13157894736776</v>
      </c>
      <c r="R8">
        <f>SUMIFS(COROP!$U$2:$U$41,COROP!$D$2:$D$41,$A8)*Parameters!$F$15*(1-Parameters!$H$15)*Parameters!$G$15</f>
        <v>1392.5657894736842</v>
      </c>
      <c r="S8">
        <f>T8*Parameters!$B$2</f>
        <v>633.27485380116855</v>
      </c>
      <c r="T8">
        <f>SUMIFS(COROP!$T$2:$T$41,COROP!$D$2:$D$41,$A8)*Parameters!$F$15*(1-Parameters!$H$15)*(1-Parameters!$G$15)</f>
        <v>1424.8684210526294</v>
      </c>
      <c r="U8">
        <f>SUMIFS(COROP!$U$2:$U$41,COROP!$D$2:$D$41,$A8)*Parameters!$F$15*(1-Parameters!$H$15)*(1-Parameters!$G$15)</f>
        <v>2077.434210526314</v>
      </c>
      <c r="V8">
        <f>W8*Parameters!$B$2</f>
        <v>1042.2930196279483</v>
      </c>
      <c r="W8">
        <f>SUMIFS(COROP!$X$2:$X$41,COROP!$D$2:$D$41,$A8)*Parameters!$B$5+SUMIFS(COROP!$T$2:$T$41,COROP!$D$2:$D$41,$A8)*Parameters!$F$15*Parameters!$H$15</f>
        <v>2345.1592941628837</v>
      </c>
      <c r="X8">
        <f>SUMIFS(COROP!$Y$2:$Y$41,COROP!$D$2:$D$41,$A8)*Parameters!$B$5+SUMIFS(COROP!$U$2:$U$41,COROP!$D$2:$D$41,$A8)*Parameters!$F$15*Parameters!$H$15</f>
        <v>2662.5551420424172</v>
      </c>
      <c r="Y8">
        <f>Parameters!$D$20*SUMIFS(COROP!$AA$2:$AA$41,COROP!$D$2:$D$41,$A8)/SUM(COROP!$AA$2:$AA$41)</f>
        <v>5345.1728499156834</v>
      </c>
      <c r="Z8">
        <f>Parameters!$D$20*SUMIFS(COROP!$AA$2:$AA$41,COROP!$D$2:$D$41,$A8)/SUM(COROP!$AA$2:$AA$41)</f>
        <v>5345.1728499156834</v>
      </c>
      <c r="AA8">
        <f>Parameters!$D$20*SUMIFS(COROP!$AA$2:$AA$41,COROP!$D$2:$D$41,$A8)/SUM(COROP!$AA$2:$AA$41)</f>
        <v>5345.1728499156834</v>
      </c>
      <c r="AB8">
        <f>AC8*Parameters!$B$2</f>
        <v>1208.3934426229498</v>
      </c>
      <c r="AC8">
        <f>SUMIFS(COROP!$R$2:$R$41,COROP!$D$2:$D$41,$A8)*Parameters!$F$11*(1-Parameters!$H$11)*Parameters!$G$11</f>
        <v>2718.8852459016371</v>
      </c>
      <c r="AD8">
        <f>SUMIFS(COROP!$S$2:$S$41,COROP!$D$2:$D$41,$A8)*Parameters!$F$11*(1-Parameters!$H$11)*Parameters!$G$11</f>
        <v>4384.327868852456</v>
      </c>
      <c r="AE8">
        <f>AF8*Parameters!$B$2</f>
        <v>481.77777777777754</v>
      </c>
      <c r="AF8">
        <f>SUMIFS(COROP!$R$2:$R$41,COROP!$D$2:$D$41,$A8)*Parameters!$F$11*(1-Parameters!$H$11)*(1-Parameters!$G$11)</f>
        <v>1083.9999999999995</v>
      </c>
      <c r="AG8">
        <f>SUMIFS(COROP!$S$2:$S$41,COROP!$D$2:$D$41,$A8)*Parameters!$F$11*(1-Parameters!$H$11)*(1-Parameters!$G$11)</f>
        <v>1747.9999999999998</v>
      </c>
      <c r="AH8">
        <f>AI8*Parameters!$B$2</f>
        <v>1947.4589324177123</v>
      </c>
      <c r="AI8">
        <f>SUMIFS(COROP!$V$2:$V$41,COROP!$D$2:$D$41,$A8)*Parameters!$B$5+SUMIFS(COROP!$R$2:$R$41,COROP!$D$2:$D$41,$A8)*Parameters!$F$11*Parameters!$H$11</f>
        <v>4381.7825979398531</v>
      </c>
      <c r="AJ8">
        <f>SUMIFS(COROP!$W$2:$W$41,COROP!$D$2:$D$41,$A8)*Parameters!$B$5+SUMIFS(COROP!$S$2:$S$41,COROP!$D$2:$D$41,$A8)*Parameters!$F$11*Parameters!$H$11</f>
        <v>5978.2055713257669</v>
      </c>
      <c r="AK8">
        <f>Parameters!$D$21*SUMIFS(COROP!$Z$2:$Z$41,COROP!$D$2:$D$41,$A8)/SUM(COROP!$Z$2:$Z$41)</f>
        <v>10875.700835713531</v>
      </c>
      <c r="AL8">
        <f>Parameters!$D$21*SUMIFS(COROP!$Z$2:$Z$41,COROP!$D$2:$D$41,$A8)/SUM(COROP!$Z$2:$Z$41)</f>
        <v>10875.700835713531</v>
      </c>
      <c r="AM8">
        <f>Parameters!$D$21*SUMIFS(COROP!$Z$2:$Z$41,COROP!$D$2:$D$41,$A8)/SUM(COROP!$Z$2:$Z$41)</f>
        <v>10875.700835713531</v>
      </c>
      <c r="AN8">
        <f>AO8*Parameters!$B$2</f>
        <v>320.11695906432732</v>
      </c>
      <c r="AO8">
        <f>SUMIFS(COROP!$T$2:$T$41,COROP!$D$2:$D$41,$A8)*Parameters!$F$14*(1-Parameters!$H$14)*Parameters!$G$14</f>
        <v>720.26315789473654</v>
      </c>
      <c r="AP8">
        <f>SUMIFS(COROP!$U$2:$U$41,COROP!$D$2:$D$41,$A8)*Parameters!$F$14*(1-Parameters!$H$14)*Parameters!$G$14</f>
        <v>1050.1315789473688</v>
      </c>
      <c r="AQ8">
        <f>AR8*Parameters!$B$2</f>
        <v>424.50292397660786</v>
      </c>
      <c r="AR8">
        <f>SUMIFS(COROP!$T$2:$T$41,COROP!$D$2:$D$41,$A8)*Parameters!$F$14*(1-Parameters!$H$14)*(1-Parameters!$G$14)</f>
        <v>955.13157894736776</v>
      </c>
      <c r="AS8">
        <f>SUMIFS(COROP!$U$2:$U$41,COROP!$D$2:$D$41,$A8)*Parameters!$F$14*(1-Parameters!$H$14)*(1-Parameters!$G$14)</f>
        <v>1392.5657894736842</v>
      </c>
      <c r="AT8">
        <f>AU8*Parameters!$B$2</f>
        <v>1153.6380488677144</v>
      </c>
      <c r="AU8">
        <f>SUMIFS(COROP!$X$2:$X$41,COROP!$D$2:$D$41,$A8)*Parameters!$B$5+SUMIFS(COROP!$T$2:$T$41,COROP!$D$2:$D$41,$A8)*Parameters!$F$14*Parameters!$H$14</f>
        <v>2595.6856099523575</v>
      </c>
      <c r="AV8">
        <f>SUMIFS(COROP!$Y$2:$Y$41,COROP!$D$2:$D$41,$A8)*Parameters!$B$5+SUMIFS(COROP!$U$2:$U$41,COROP!$D$2:$D$41,$A8)*Parameters!$F$14*Parameters!$H$14</f>
        <v>3027.8182999371538</v>
      </c>
      <c r="AW8">
        <f>Parameters!$D$22*SUMIFS(COROP!$AA$2:$AA$41,COROP!$D$2:$D$41,$A8)/SUM(COROP!$AA$2:$AA$41)</f>
        <v>14490</v>
      </c>
      <c r="AX8">
        <f>Parameters!$D$22*SUMIFS(COROP!$AA$2:$AA$41,COROP!$D$2:$D$41,$A8)/SUM(COROP!$AA$2:$AA$41)</f>
        <v>14490</v>
      </c>
      <c r="AY8">
        <f>Parameters!$D$22*SUMIFS(COROP!$AA$2:$AA$41,COROP!$D$2:$D$41,$A8)/SUM(COROP!$AA$2:$AA$41)</f>
        <v>14490</v>
      </c>
    </row>
    <row r="9" spans="1:51" x14ac:dyDescent="0.25">
      <c r="A9">
        <v>8</v>
      </c>
      <c r="B9" t="s">
        <v>81</v>
      </c>
      <c r="C9">
        <v>1</v>
      </c>
      <c r="D9">
        <f>E9*Parameters!$B$2</f>
        <v>3101.6393442622943</v>
      </c>
      <c r="E9">
        <f>SUMIFS(COROP!$R$2:$R$41,COROP!$D$2:$D$41,$A9)*Parameters!$F$12*(1-Parameters!$H$12)*Parameters!$G$12</f>
        <v>6978.6885245901622</v>
      </c>
      <c r="F9">
        <f>SUMIFS(COROP!$S$2:$S$41,COROP!$D$2:$D$41,$A9)*Parameters!$F$12*(1-Parameters!$H$12)*Parameters!$G$12</f>
        <v>13443.442622950817</v>
      </c>
      <c r="G9">
        <f>H9*Parameters!$B$2</f>
        <v>1026.3606557377043</v>
      </c>
      <c r="H9">
        <f>SUMIFS(COROP!$R$2:$R$41,COROP!$D$2:$D$41,$A9)*Parameters!$F$12*(1-Parameters!$H$12)*(1-Parameters!$G$12)</f>
        <v>2309.3114754098347</v>
      </c>
      <c r="I9">
        <f>SUMIFS(COROP!$S$2:$S$41,COROP!$D$2:$D$41,$A9)*Parameters!$F$12*(1-Parameters!$H$12)*(1-Parameters!$G$12)</f>
        <v>4448.5573770491783</v>
      </c>
      <c r="J9">
        <f>K9*Parameters!$B$2</f>
        <v>1917.0980207480513</v>
      </c>
      <c r="K9">
        <f>SUMIFS(COROP!$V$2:$V$41,COROP!$D$2:$D$41,$A9)*Parameters!$B$5+SUMIFS(COROP!$R$2:$R$41,COROP!$D$2:$D$41,$A9)*Parameters!$F$12*Parameters!$H$12</f>
        <v>4313.4705466831156</v>
      </c>
      <c r="L9">
        <f>SUMIFS(COROP!$W$2:$W$41,COROP!$D$2:$D$41,$A9)*Parameters!$B$5+SUMIFS(COROP!$S$2:$S$41,COROP!$D$2:$D$41,$A9)*Parameters!$F$12*Parameters!$H$12</f>
        <v>6152.8893399213757</v>
      </c>
      <c r="M9">
        <f>Parameters!$D$19*SUMIFS(COROP!$Z$2:$Z$41,COROP!$D$2:$D$41,$A9)/SUM(COROP!$Z$2:$Z$41)</f>
        <v>3480.3766000211581</v>
      </c>
      <c r="N9">
        <f>Parameters!$D$19*SUMIFS(COROP!$Z$2:$Z$41,COROP!$D$2:$D$41,$A9)/SUM(COROP!$Z$2:$Z$41)</f>
        <v>3480.3766000211581</v>
      </c>
      <c r="O9">
        <f>Parameters!$D$19*SUMIFS(COROP!$Z$2:$Z$41,COROP!$D$2:$D$41,$A9)/SUM(COROP!$Z$2:$Z$41)</f>
        <v>3480.3766000211581</v>
      </c>
      <c r="P9">
        <f>Q9*Parameters!$B$2</f>
        <v>583.24561403508744</v>
      </c>
      <c r="Q9">
        <f>SUMIFS(COROP!$T$2:$T$41,COROP!$D$2:$D$41,$A9)*Parameters!$F$15*(1-Parameters!$H$15)*Parameters!$G$15</f>
        <v>1312.3026315789468</v>
      </c>
      <c r="R9">
        <f>SUMIFS(COROP!$U$2:$U$41,COROP!$D$2:$D$41,$A9)*Parameters!$F$15*(1-Parameters!$H$15)*Parameters!$G$15</f>
        <v>2283.4868421052606</v>
      </c>
      <c r="S9">
        <f>T9*Parameters!$B$2</f>
        <v>870.08771929824456</v>
      </c>
      <c r="T9">
        <f>SUMIFS(COROP!$T$2:$T$41,COROP!$D$2:$D$41,$A9)*Parameters!$F$15*(1-Parameters!$H$15)*(1-Parameters!$G$15)</f>
        <v>1957.6973684210504</v>
      </c>
      <c r="U9">
        <f>SUMIFS(COROP!$U$2:$U$41,COROP!$D$2:$D$41,$A9)*Parameters!$F$15*(1-Parameters!$H$15)*(1-Parameters!$G$15)</f>
        <v>3406.5131578947303</v>
      </c>
      <c r="V9">
        <f>W9*Parameters!$B$2</f>
        <v>1060.0120379218904</v>
      </c>
      <c r="W9">
        <f>SUMIFS(COROP!$X$2:$X$41,COROP!$D$2:$D$41,$A9)*Parameters!$B$5+SUMIFS(COROP!$T$2:$T$41,COROP!$D$2:$D$41,$A9)*Parameters!$F$15*Parameters!$H$15</f>
        <v>2385.0270853242537</v>
      </c>
      <c r="X9">
        <f>SUMIFS(COROP!$Y$2:$Y$41,COROP!$D$2:$D$41,$A9)*Parameters!$B$5+SUMIFS(COROP!$U$2:$U$41,COROP!$D$2:$D$41,$A9)*Parameters!$F$15*Parameters!$H$15</f>
        <v>2713.7700426861584</v>
      </c>
      <c r="Y9">
        <f>Parameters!$D$20*SUMIFS(COROP!$AA$2:$AA$41,COROP!$D$2:$D$41,$A9)/SUM(COROP!$AA$2:$AA$41)</f>
        <v>3467.537942664419</v>
      </c>
      <c r="Z9">
        <f>Parameters!$D$20*SUMIFS(COROP!$AA$2:$AA$41,COROP!$D$2:$D$41,$A9)/SUM(COROP!$AA$2:$AA$41)</f>
        <v>3467.537942664419</v>
      </c>
      <c r="AA9">
        <f>Parameters!$D$20*SUMIFS(COROP!$AA$2:$AA$41,COROP!$D$2:$D$41,$A9)/SUM(COROP!$AA$2:$AA$41)</f>
        <v>3467.537942664419</v>
      </c>
      <c r="AB9">
        <f>AC9*Parameters!$B$2</f>
        <v>1725.6393442622934</v>
      </c>
      <c r="AC9">
        <f>SUMIFS(COROP!$R$2:$R$41,COROP!$D$2:$D$41,$A9)*Parameters!$F$11*(1-Parameters!$H$11)*Parameters!$G$11</f>
        <v>3882.6885245901603</v>
      </c>
      <c r="AD9">
        <f>SUMIFS(COROP!$S$2:$S$41,COROP!$D$2:$D$41,$A9)*Parameters!$F$11*(1-Parameters!$H$11)*Parameters!$G$11</f>
        <v>7479.4426229508144</v>
      </c>
      <c r="AE9">
        <f>AF9*Parameters!$B$2</f>
        <v>687.99999999999955</v>
      </c>
      <c r="AF9">
        <f>SUMIFS(COROP!$R$2:$R$41,COROP!$D$2:$D$41,$A9)*Parameters!$F$11*(1-Parameters!$H$11)*(1-Parameters!$G$11)</f>
        <v>1547.9999999999991</v>
      </c>
      <c r="AG9">
        <f>SUMIFS(COROP!$S$2:$S$41,COROP!$D$2:$D$41,$A9)*Parameters!$F$11*(1-Parameters!$H$11)*(1-Parameters!$G$11)</f>
        <v>2981.9999999999991</v>
      </c>
      <c r="AH9">
        <f>AI9*Parameters!$B$2</f>
        <v>2097.5570371414942</v>
      </c>
      <c r="AI9">
        <f>SUMIFS(COROP!$V$2:$V$41,COROP!$D$2:$D$41,$A9)*Parameters!$B$5+SUMIFS(COROP!$R$2:$R$41,COROP!$D$2:$D$41,$A9)*Parameters!$F$11*Parameters!$H$11</f>
        <v>4719.503333568362</v>
      </c>
      <c r="AJ9">
        <f>SUMIFS(COROP!$W$2:$W$41,COROP!$D$2:$D$41,$A9)*Parameters!$B$5+SUMIFS(COROP!$S$2:$S$41,COROP!$D$2:$D$41,$A9)*Parameters!$F$11*Parameters!$H$11</f>
        <v>6935.0532743476051</v>
      </c>
      <c r="AK9">
        <f>Parameters!$D$21*SUMIFS(COROP!$Z$2:$Z$41,COROP!$D$2:$D$41,$A9)/SUM(COROP!$Z$2:$Z$41)</f>
        <v>7060.1925314714917</v>
      </c>
      <c r="AL9">
        <f>Parameters!$D$21*SUMIFS(COROP!$Z$2:$Z$41,COROP!$D$2:$D$41,$A9)/SUM(COROP!$Z$2:$Z$41)</f>
        <v>7060.1925314714917</v>
      </c>
      <c r="AM9">
        <f>Parameters!$D$21*SUMIFS(COROP!$Z$2:$Z$41,COROP!$D$2:$D$41,$A9)/SUM(COROP!$Z$2:$Z$41)</f>
        <v>7060.1925314714917</v>
      </c>
      <c r="AN9">
        <f>AO9*Parameters!$B$2</f>
        <v>439.82456140350877</v>
      </c>
      <c r="AO9">
        <f>SUMIFS(COROP!$T$2:$T$41,COROP!$D$2:$D$41,$A9)*Parameters!$F$14*(1-Parameters!$H$14)*Parameters!$G$14</f>
        <v>989.6052631578948</v>
      </c>
      <c r="AP9">
        <f>SUMIFS(COROP!$U$2:$U$41,COROP!$D$2:$D$41,$A9)*Parameters!$F$14*(1-Parameters!$H$14)*Parameters!$G$14</f>
        <v>1721.9736842105251</v>
      </c>
      <c r="AQ9">
        <f>AR9*Parameters!$B$2</f>
        <v>583.24561403508767</v>
      </c>
      <c r="AR9">
        <f>SUMIFS(COROP!$T$2:$T$41,COROP!$D$2:$D$41,$A9)*Parameters!$F$14*(1-Parameters!$H$14)*(1-Parameters!$G$14)</f>
        <v>1312.3026315789473</v>
      </c>
      <c r="AS9">
        <f>SUMIFS(COROP!$U$2:$U$41,COROP!$D$2:$D$41,$A9)*Parameters!$F$14*(1-Parameters!$H$14)*(1-Parameters!$G$14)</f>
        <v>2283.4868421052611</v>
      </c>
      <c r="AT9">
        <f>AU9*Parameters!$B$2</f>
        <v>1212.9944940622411</v>
      </c>
      <c r="AU9">
        <f>SUMIFS(COROP!$X$2:$X$41,COROP!$D$2:$D$41,$A9)*Parameters!$B$5+SUMIFS(COROP!$T$2:$T$41,COROP!$D$2:$D$41,$A9)*Parameters!$F$14*Parameters!$H$14</f>
        <v>2729.2376116400428</v>
      </c>
      <c r="AV9">
        <f>SUMIFS(COROP!$Y$2:$Y$41,COROP!$D$2:$D$41,$A9)*Parameters!$B$5+SUMIFS(COROP!$U$2:$U$41,COROP!$D$2:$D$41,$A9)*Parameters!$F$14*Parameters!$H$14</f>
        <v>3312.71741110721</v>
      </c>
      <c r="AW9">
        <f>Parameters!$D$22*SUMIFS(COROP!$AA$2:$AA$41,COROP!$D$2:$D$41,$A9)/SUM(COROP!$AA$2:$AA$41)</f>
        <v>9400.0000000000018</v>
      </c>
      <c r="AX9">
        <f>Parameters!$D$22*SUMIFS(COROP!$AA$2:$AA$41,COROP!$D$2:$D$41,$A9)/SUM(COROP!$AA$2:$AA$41)</f>
        <v>9400.0000000000018</v>
      </c>
      <c r="AY9">
        <f>Parameters!$D$22*SUMIFS(COROP!$AA$2:$AA$41,COROP!$D$2:$D$41,$A9)/SUM(COROP!$AA$2:$AA$41)</f>
        <v>9400.0000000000018</v>
      </c>
    </row>
    <row r="10" spans="1:51" x14ac:dyDescent="0.25">
      <c r="A10">
        <v>9</v>
      </c>
      <c r="B10" t="s">
        <v>88</v>
      </c>
      <c r="C10">
        <v>3</v>
      </c>
      <c r="D10">
        <f>E10*Parameters!$B$2</f>
        <v>260.47358834244073</v>
      </c>
      <c r="E10">
        <f>SUMIFS(COROP!$R$2:$R$41,COROP!$D$2:$D$41,$A10)*Parameters!$F$12*(1-Parameters!$H$12)*Parameters!$G$12</f>
        <v>586.06557377049171</v>
      </c>
      <c r="F10">
        <f>SUMIFS(COROP!$S$2:$S$41,COROP!$D$2:$D$41,$A10)*Parameters!$F$12*(1-Parameters!$H$12)*Parameters!$G$12</f>
        <v>865.57377049180332</v>
      </c>
      <c r="G10">
        <f>H10*Parameters!$B$2</f>
        <v>86.193078324225809</v>
      </c>
      <c r="H10">
        <f>SUMIFS(COROP!$R$2:$R$41,COROP!$D$2:$D$41,$A10)*Parameters!$F$12*(1-Parameters!$H$12)*(1-Parameters!$G$12)</f>
        <v>193.93442622950809</v>
      </c>
      <c r="I10">
        <f>SUMIFS(COROP!$S$2:$S$41,COROP!$D$2:$D$41,$A10)*Parameters!$F$12*(1-Parameters!$H$12)*(1-Parameters!$G$12)</f>
        <v>286.42622950819668</v>
      </c>
      <c r="J10">
        <f>K10*Parameters!$B$2</f>
        <v>64.833315158444748</v>
      </c>
      <c r="K10">
        <f>SUMIFS(COROP!$V$2:$V$41,COROP!$D$2:$D$41,$A10)*Parameters!$B$5+SUMIFS(COROP!$R$2:$R$41,COROP!$D$2:$D$41,$A10)*Parameters!$F$12*Parameters!$H$12</f>
        <v>145.87495910650068</v>
      </c>
      <c r="L10">
        <f>SUMIFS(COROP!$W$2:$W$41,COROP!$D$2:$D$41,$A10)*Parameters!$B$5+SUMIFS(COROP!$S$2:$S$41,COROP!$D$2:$D$41,$A10)*Parameters!$F$12*Parameters!$H$12</f>
        <v>161.12086074584494</v>
      </c>
      <c r="M10">
        <f>Parameters!$D$19*SUMIFS(COROP!$Z$2:$Z$41,COROP!$D$2:$D$41,$A10)/SUM(COROP!$Z$2:$Z$41)</f>
        <v>1540.2517719242571</v>
      </c>
      <c r="N10">
        <f>Parameters!$D$19*SUMIFS(COROP!$Z$2:$Z$41,COROP!$D$2:$D$41,$A10)/SUM(COROP!$Z$2:$Z$41)</f>
        <v>1540.2517719242571</v>
      </c>
      <c r="O10">
        <f>Parameters!$D$19*SUMIFS(COROP!$Z$2:$Z$41,COROP!$D$2:$D$41,$A10)/SUM(COROP!$Z$2:$Z$41)</f>
        <v>1540.2517719242571</v>
      </c>
      <c r="P10">
        <f>Q10*Parameters!$B$2</f>
        <v>64.21052631578921</v>
      </c>
      <c r="Q10">
        <f>SUMIFS(COROP!$T$2:$T$41,COROP!$D$2:$D$41,$A10)*Parameters!$F$15*(1-Parameters!$H$15)*Parameters!$G$15</f>
        <v>144.47368421052573</v>
      </c>
      <c r="R10">
        <f>SUMIFS(COROP!$U$2:$U$41,COROP!$D$2:$D$41,$A10)*Parameters!$F$15*(1-Parameters!$H$15)*Parameters!$G$15</f>
        <v>393.2894736842099</v>
      </c>
      <c r="S10">
        <f>T10*Parameters!$B$2</f>
        <v>95.78947368421008</v>
      </c>
      <c r="T10">
        <f>SUMIFS(COROP!$T$2:$T$41,COROP!$D$2:$D$41,$A10)*Parameters!$F$15*(1-Parameters!$H$15)*(1-Parameters!$G$15)</f>
        <v>215.52631578947268</v>
      </c>
      <c r="U10">
        <f>SUMIFS(COROP!$U$2:$U$41,COROP!$D$2:$D$41,$A10)*Parameters!$F$15*(1-Parameters!$H$15)*(1-Parameters!$G$15)</f>
        <v>586.71052631578812</v>
      </c>
      <c r="V10">
        <f>W10*Parameters!$B$2</f>
        <v>15.78947368421046</v>
      </c>
      <c r="W10">
        <f>SUMIFS(COROP!$X$2:$X$41,COROP!$D$2:$D$41,$A10)*Parameters!$B$5+SUMIFS(COROP!$T$2:$T$41,COROP!$D$2:$D$41,$A10)*Parameters!$F$15*Parameters!$H$15</f>
        <v>35.526315789473536</v>
      </c>
      <c r="X10">
        <f>SUMIFS(COROP!$Y$2:$Y$41,COROP!$D$2:$D$41,$A10)*Parameters!$B$5+SUMIFS(COROP!$U$2:$U$41,COROP!$D$2:$D$41,$A10)*Parameters!$F$15*Parameters!$H$15</f>
        <v>96.710526315789295</v>
      </c>
      <c r="Y10">
        <f>Parameters!$D$20*SUMIFS(COROP!$AA$2:$AA$41,COROP!$D$2:$D$41,$A10)/SUM(COROP!$AA$2:$AA$41)</f>
        <v>1534.5699831365939</v>
      </c>
      <c r="Z10">
        <f>Parameters!$D$20*SUMIFS(COROP!$AA$2:$AA$41,COROP!$D$2:$D$41,$A10)/SUM(COROP!$AA$2:$AA$41)</f>
        <v>1534.5699831365939</v>
      </c>
      <c r="AA10">
        <f>Parameters!$D$20*SUMIFS(COROP!$AA$2:$AA$41,COROP!$D$2:$D$41,$A10)/SUM(COROP!$AA$2:$AA$41)</f>
        <v>1534.5699831365939</v>
      </c>
      <c r="AB10">
        <f>AC10*Parameters!$B$2</f>
        <v>144.91803278688511</v>
      </c>
      <c r="AC10">
        <f>SUMIFS(COROP!$R$2:$R$41,COROP!$D$2:$D$41,$A10)*Parameters!$F$11*(1-Parameters!$H$11)*Parameters!$G$11</f>
        <v>326.06557377049154</v>
      </c>
      <c r="AD10">
        <f>SUMIFS(COROP!$S$2:$S$41,COROP!$D$2:$D$41,$A10)*Parameters!$F$11*(1-Parameters!$H$11)*Parameters!$G$11</f>
        <v>481.57377049180292</v>
      </c>
      <c r="AE10">
        <f>AF10*Parameters!$B$2</f>
        <v>57.77777777777775</v>
      </c>
      <c r="AF10">
        <f>SUMIFS(COROP!$R$2:$R$41,COROP!$D$2:$D$41,$A10)*Parameters!$F$11*(1-Parameters!$H$11)*(1-Parameters!$G$11)</f>
        <v>129.99999999999994</v>
      </c>
      <c r="AG10">
        <f>SUMIFS(COROP!$S$2:$S$41,COROP!$D$2:$D$41,$A10)*Parameters!$F$11*(1-Parameters!$H$11)*(1-Parameters!$G$11)</f>
        <v>191.99999999999994</v>
      </c>
      <c r="AH10">
        <f>AI10*Parameters!$B$2</f>
        <v>79.988142116550378</v>
      </c>
      <c r="AI10">
        <f>SUMIFS(COROP!$V$2:$V$41,COROP!$D$2:$D$41,$A10)*Parameters!$B$5+SUMIFS(COROP!$R$2:$R$41,COROP!$D$2:$D$41,$A10)*Parameters!$F$11*Parameters!$H$11</f>
        <v>179.97331976223836</v>
      </c>
      <c r="AJ10">
        <f>SUMIFS(COROP!$W$2:$W$41,COROP!$D$2:$D$41,$A10)*Parameters!$B$5+SUMIFS(COROP!$S$2:$S$41,COROP!$D$2:$D$41,$A10)*Parameters!$F$11*Parameters!$H$11</f>
        <v>211.48151648354985</v>
      </c>
      <c r="AK10">
        <f>Parameters!$D$21*SUMIFS(COROP!$Z$2:$Z$41,COROP!$D$2:$D$41,$A10)/SUM(COROP!$Z$2:$Z$41)</f>
        <v>3124.5107373320643</v>
      </c>
      <c r="AL10">
        <f>Parameters!$D$21*SUMIFS(COROP!$Z$2:$Z$41,COROP!$D$2:$D$41,$A10)/SUM(COROP!$Z$2:$Z$41)</f>
        <v>3124.5107373320643</v>
      </c>
      <c r="AM10">
        <f>Parameters!$D$21*SUMIFS(COROP!$Z$2:$Z$41,COROP!$D$2:$D$41,$A10)/SUM(COROP!$Z$2:$Z$41)</f>
        <v>3124.5107373320643</v>
      </c>
      <c r="AN10">
        <f>AO10*Parameters!$B$2</f>
        <v>48.421052631578775</v>
      </c>
      <c r="AO10">
        <f>SUMIFS(COROP!$T$2:$T$41,COROP!$D$2:$D$41,$A10)*Parameters!$F$14*(1-Parameters!$H$14)*Parameters!$G$14</f>
        <v>108.94736842105225</v>
      </c>
      <c r="AP10">
        <f>SUMIFS(COROP!$U$2:$U$41,COROP!$D$2:$D$41,$A10)*Parameters!$F$14*(1-Parameters!$H$14)*Parameters!$G$14</f>
        <v>296.57894736842076</v>
      </c>
      <c r="AQ10">
        <f>AR10*Parameters!$B$2</f>
        <v>64.210526315789238</v>
      </c>
      <c r="AR10">
        <f>SUMIFS(COROP!$T$2:$T$41,COROP!$D$2:$D$41,$A10)*Parameters!$F$14*(1-Parameters!$H$14)*(1-Parameters!$G$14)</f>
        <v>144.47368421052579</v>
      </c>
      <c r="AS10">
        <f>SUMIFS(COROP!$U$2:$U$41,COROP!$D$2:$D$41,$A10)*Parameters!$F$14*(1-Parameters!$H$14)*(1-Parameters!$G$14)</f>
        <v>393.28947368421001</v>
      </c>
      <c r="AT10">
        <f>AU10*Parameters!$B$2</f>
        <v>32.631578947368283</v>
      </c>
      <c r="AU10">
        <f>SUMIFS(COROP!$X$2:$X$41,COROP!$D$2:$D$41,$A10)*Parameters!$B$5+SUMIFS(COROP!$T$2:$T$41,COROP!$D$2:$D$41,$A10)*Parameters!$F$14*Parameters!$H$14</f>
        <v>73.421052631578647</v>
      </c>
      <c r="AV10">
        <f>SUMIFS(COROP!$Y$2:$Y$41,COROP!$D$2:$D$41,$A10)*Parameters!$B$5+SUMIFS(COROP!$U$2:$U$41,COROP!$D$2:$D$41,$A10)*Parameters!$F$14*Parameters!$H$14</f>
        <v>199.86842105263125</v>
      </c>
      <c r="AW10">
        <f>Parameters!$D$22*SUMIFS(COROP!$AA$2:$AA$41,COROP!$D$2:$D$41,$A10)/SUM(COROP!$AA$2:$AA$41)</f>
        <v>4160.0000000000009</v>
      </c>
      <c r="AX10">
        <f>Parameters!$D$22*SUMIFS(COROP!$AA$2:$AA$41,COROP!$D$2:$D$41,$A10)/SUM(COROP!$AA$2:$AA$41)</f>
        <v>4160.0000000000009</v>
      </c>
      <c r="AY10">
        <f>Parameters!$D$22*SUMIFS(COROP!$AA$2:$AA$41,COROP!$D$2:$D$41,$A10)/SUM(COROP!$AA$2:$AA$41)</f>
        <v>4160.0000000000009</v>
      </c>
    </row>
    <row r="11" spans="1:51" x14ac:dyDescent="0.25">
      <c r="A11">
        <v>10</v>
      </c>
      <c r="B11" t="s">
        <v>91</v>
      </c>
      <c r="C11">
        <v>2</v>
      </c>
      <c r="D11">
        <f>E11*Parameters!$B$2</f>
        <v>3209.8360655737692</v>
      </c>
      <c r="E11">
        <f>SUMIFS(COROP!$R$2:$R$41,COROP!$D$2:$D$41,$A11)*Parameters!$F$12*(1-Parameters!$H$12)*Parameters!$G$12</f>
        <v>7222.1311475409811</v>
      </c>
      <c r="F11">
        <f>SUMIFS(COROP!$S$2:$S$41,COROP!$D$2:$D$41,$A11)*Parameters!$F$12*(1-Parameters!$H$12)*Parameters!$G$12</f>
        <v>11540.983606557375</v>
      </c>
      <c r="G11">
        <f>H11*Parameters!$B$2</f>
        <v>1062.1639344262287</v>
      </c>
      <c r="H11">
        <f>SUMIFS(COROP!$R$2:$R$41,COROP!$D$2:$D$41,$A11)*Parameters!$F$12*(1-Parameters!$H$12)*(1-Parameters!$G$12)</f>
        <v>2389.8688524590148</v>
      </c>
      <c r="I11">
        <f>SUMIFS(COROP!$S$2:$S$41,COROP!$D$2:$D$41,$A11)*Parameters!$F$12*(1-Parameters!$H$12)*(1-Parameters!$G$12)</f>
        <v>3819.0163934426214</v>
      </c>
      <c r="J11">
        <f>K11*Parameters!$B$2</f>
        <v>1134.3050913541385</v>
      </c>
      <c r="K11">
        <f>SUMIFS(COROP!$V$2:$V$41,COROP!$D$2:$D$41,$A11)*Parameters!$B$5+SUMIFS(COROP!$R$2:$R$41,COROP!$D$2:$D$41,$A11)*Parameters!$F$12*Parameters!$H$12</f>
        <v>2552.1864555468119</v>
      </c>
      <c r="L11">
        <f>SUMIFS(COROP!$W$2:$W$41,COROP!$D$2:$D$41,$A11)*Parameters!$B$5+SUMIFS(COROP!$S$2:$S$41,COROP!$D$2:$D$41,$A11)*Parameters!$F$12*Parameters!$H$12</f>
        <v>3627.080459662011</v>
      </c>
      <c r="M11">
        <f>Parameters!$D$19*SUMIFS(COROP!$Z$2:$Z$41,COROP!$D$2:$D$41,$A11)/SUM(COROP!$Z$2:$Z$41)</f>
        <v>6072.1464085475527</v>
      </c>
      <c r="N11">
        <f>Parameters!$D$19*SUMIFS(COROP!$Z$2:$Z$41,COROP!$D$2:$D$41,$A11)/SUM(COROP!$Z$2:$Z$41)</f>
        <v>6072.1464085475527</v>
      </c>
      <c r="O11">
        <f>Parameters!$D$19*SUMIFS(COROP!$Z$2:$Z$41,COROP!$D$2:$D$41,$A11)/SUM(COROP!$Z$2:$Z$41)</f>
        <v>6072.1464085475527</v>
      </c>
      <c r="P11">
        <f>Q11*Parameters!$B$2</f>
        <v>531.52046783625724</v>
      </c>
      <c r="Q11">
        <f>SUMIFS(COROP!$T$2:$T$41,COROP!$D$2:$D$41,$A11)*Parameters!$F$15*(1-Parameters!$H$15)*Parameters!$G$15</f>
        <v>1195.9210526315787</v>
      </c>
      <c r="R11">
        <f>SUMIFS(COROP!$U$2:$U$41,COROP!$D$2:$D$41,$A11)*Parameters!$F$15*(1-Parameters!$H$15)*Parameters!$G$15</f>
        <v>1673.4868421052631</v>
      </c>
      <c r="S11">
        <f>T11*Parameters!$B$2</f>
        <v>792.92397660818642</v>
      </c>
      <c r="T11">
        <f>SUMIFS(COROP!$T$2:$T$41,COROP!$D$2:$D$41,$A11)*Parameters!$F$15*(1-Parameters!$H$15)*(1-Parameters!$G$15)</f>
        <v>1784.0789473684194</v>
      </c>
      <c r="U11">
        <f>SUMIFS(COROP!$U$2:$U$41,COROP!$D$2:$D$41,$A11)*Parameters!$F$15*(1-Parameters!$H$15)*(1-Parameters!$G$15)</f>
        <v>2496.5131578947348</v>
      </c>
      <c r="V11">
        <f>W11*Parameters!$B$2</f>
        <v>319.88187053600012</v>
      </c>
      <c r="W11">
        <f>SUMIFS(COROP!$X$2:$X$41,COROP!$D$2:$D$41,$A11)*Parameters!$B$5+SUMIFS(COROP!$T$2:$T$41,COROP!$D$2:$D$41,$A11)*Parameters!$F$15*Parameters!$H$15</f>
        <v>719.73420870600035</v>
      </c>
      <c r="X11">
        <f>SUMIFS(COROP!$Y$2:$Y$41,COROP!$D$2:$D$41,$A11)*Parameters!$B$5+SUMIFS(COROP!$U$2:$U$41,COROP!$D$2:$D$41,$A11)*Parameters!$F$15*Parameters!$H$15</f>
        <v>795.20240755114628</v>
      </c>
      <c r="Y11">
        <f>Parameters!$D$20*SUMIFS(COROP!$AA$2:$AA$41,COROP!$D$2:$D$41,$A11)/SUM(COROP!$AA$2:$AA$41)</f>
        <v>6053.4359190556488</v>
      </c>
      <c r="Z11">
        <f>Parameters!$D$20*SUMIFS(COROP!$AA$2:$AA$41,COROP!$D$2:$D$41,$A11)/SUM(COROP!$AA$2:$AA$41)</f>
        <v>6053.4359190556488</v>
      </c>
      <c r="AA11">
        <f>Parameters!$D$20*SUMIFS(COROP!$AA$2:$AA$41,COROP!$D$2:$D$41,$A11)/SUM(COROP!$AA$2:$AA$41)</f>
        <v>6053.4359190556488</v>
      </c>
      <c r="AB11">
        <f>AC11*Parameters!$B$2</f>
        <v>1785.8360655737688</v>
      </c>
      <c r="AC11">
        <f>SUMIFS(COROP!$R$2:$R$41,COROP!$D$2:$D$41,$A11)*Parameters!$F$11*(1-Parameters!$H$11)*Parameters!$G$11</f>
        <v>4018.1311475409802</v>
      </c>
      <c r="AD11">
        <f>SUMIFS(COROP!$S$2:$S$41,COROP!$D$2:$D$41,$A11)*Parameters!$F$11*(1-Parameters!$H$11)*Parameters!$G$11</f>
        <v>6420.9836065573736</v>
      </c>
      <c r="AE11">
        <f>AF11*Parameters!$B$2</f>
        <v>711.99999999999966</v>
      </c>
      <c r="AF11">
        <f>SUMIFS(COROP!$R$2:$R$41,COROP!$D$2:$D$41,$A11)*Parameters!$F$11*(1-Parameters!$H$11)*(1-Parameters!$G$11)</f>
        <v>1601.9999999999993</v>
      </c>
      <c r="AG11">
        <f>SUMIFS(COROP!$S$2:$S$41,COROP!$D$2:$D$41,$A11)*Parameters!$F$11*(1-Parameters!$H$11)*(1-Parameters!$G$11)</f>
        <v>2559.9999999999995</v>
      </c>
      <c r="AH11">
        <f>AI11*Parameters!$B$2</f>
        <v>1321.0591897147942</v>
      </c>
      <c r="AI11">
        <f>SUMIFS(COROP!$V$2:$V$41,COROP!$D$2:$D$41,$A11)*Parameters!$B$5+SUMIFS(COROP!$R$2:$R$41,COROP!$D$2:$D$41,$A11)*Parameters!$F$11*Parameters!$H$11</f>
        <v>2972.3831768582872</v>
      </c>
      <c r="AJ11">
        <f>SUMIFS(COROP!$W$2:$W$41,COROP!$D$2:$D$41,$A11)*Parameters!$B$5+SUMIFS(COROP!$S$2:$S$41,COROP!$D$2:$D$41,$A11)*Parameters!$F$11*Parameters!$H$11</f>
        <v>4298.5558694980764</v>
      </c>
      <c r="AK11">
        <f>Parameters!$D$21*SUMIFS(COROP!$Z$2:$Z$41,COROP!$D$2:$D$41,$A11)/SUM(COROP!$Z$2:$Z$41)</f>
        <v>12317.782714482177</v>
      </c>
      <c r="AL11">
        <f>Parameters!$D$21*SUMIFS(COROP!$Z$2:$Z$41,COROP!$D$2:$D$41,$A11)/SUM(COROP!$Z$2:$Z$41)</f>
        <v>12317.782714482177</v>
      </c>
      <c r="AM11">
        <f>Parameters!$D$21*SUMIFS(COROP!$Z$2:$Z$41,COROP!$D$2:$D$41,$A11)/SUM(COROP!$Z$2:$Z$41)</f>
        <v>12317.782714482177</v>
      </c>
      <c r="AN11">
        <f>AO11*Parameters!$B$2</f>
        <v>400.81871345029248</v>
      </c>
      <c r="AO11">
        <f>SUMIFS(COROP!$T$2:$T$41,COROP!$D$2:$D$41,$A11)*Parameters!$F$14*(1-Parameters!$H$14)*Parameters!$G$14</f>
        <v>901.84210526315815</v>
      </c>
      <c r="AP11">
        <f>SUMIFS(COROP!$U$2:$U$41,COROP!$D$2:$D$41,$A11)*Parameters!$F$14*(1-Parameters!$H$14)*Parameters!$G$14</f>
        <v>1261.9736842105267</v>
      </c>
      <c r="AQ11">
        <f>AR11*Parameters!$B$2</f>
        <v>531.52046783625724</v>
      </c>
      <c r="AR11">
        <f>SUMIFS(COROP!$T$2:$T$41,COROP!$D$2:$D$41,$A11)*Parameters!$F$14*(1-Parameters!$H$14)*(1-Parameters!$G$14)</f>
        <v>1195.921052631579</v>
      </c>
      <c r="AS11">
        <f>SUMIFS(COROP!$U$2:$U$41,COROP!$D$2:$D$41,$A11)*Parameters!$F$14*(1-Parameters!$H$14)*(1-Parameters!$G$14)</f>
        <v>1673.4868421052633</v>
      </c>
      <c r="AT11">
        <f>AU11*Parameters!$B$2</f>
        <v>459.29707521436262</v>
      </c>
      <c r="AU11">
        <f>SUMIFS(COROP!$X$2:$X$41,COROP!$D$2:$D$41,$A11)*Parameters!$B$5+SUMIFS(COROP!$T$2:$T$41,COROP!$D$2:$D$41,$A11)*Parameters!$F$14*Parameters!$H$14</f>
        <v>1033.418419232316</v>
      </c>
      <c r="AV11">
        <f>SUMIFS(COROP!$Y$2:$Y$41,COROP!$D$2:$D$41,$A11)*Parameters!$B$5+SUMIFS(COROP!$U$2:$U$41,COROP!$D$2:$D$41,$A11)*Parameters!$F$14*Parameters!$H$14</f>
        <v>1234.1497759721988</v>
      </c>
      <c r="AW11">
        <f>Parameters!$D$22*SUMIFS(COROP!$AA$2:$AA$41,COROP!$D$2:$D$41,$A11)/SUM(COROP!$AA$2:$AA$41)</f>
        <v>16410</v>
      </c>
      <c r="AX11">
        <f>Parameters!$D$22*SUMIFS(COROP!$AA$2:$AA$41,COROP!$D$2:$D$41,$A11)/SUM(COROP!$AA$2:$AA$41)</f>
        <v>16410</v>
      </c>
      <c r="AY11">
        <f>Parameters!$D$22*SUMIFS(COROP!$AA$2:$AA$41,COROP!$D$2:$D$41,$A11)/SUM(COROP!$AA$2:$AA$41)</f>
        <v>16410</v>
      </c>
    </row>
    <row r="12" spans="1:51" x14ac:dyDescent="0.25">
      <c r="A12">
        <v>11</v>
      </c>
      <c r="B12" t="s">
        <v>96</v>
      </c>
      <c r="C12">
        <v>3</v>
      </c>
      <c r="D12">
        <f>E12*Parameters!$B$2</f>
        <v>597.08561020036495</v>
      </c>
      <c r="E12">
        <f>SUMIFS(COROP!$R$2:$R$41,COROP!$D$2:$D$41,$A12)*Parameters!$F$12*(1-Parameters!$H$12)*Parameters!$G$12</f>
        <v>1343.4426229508213</v>
      </c>
      <c r="F12">
        <f>SUMIFS(COROP!$S$2:$S$41,COROP!$D$2:$D$41,$A12)*Parameters!$F$12*(1-Parameters!$H$12)*Parameters!$G$12</f>
        <v>1713.1147540983591</v>
      </c>
      <c r="G12">
        <f>H12*Parameters!$B$2</f>
        <v>197.58105646630253</v>
      </c>
      <c r="H12">
        <f>SUMIFS(COROP!$R$2:$R$41,COROP!$D$2:$D$41,$A12)*Parameters!$F$12*(1-Parameters!$H$12)*(1-Parameters!$G$12)</f>
        <v>444.55737704918073</v>
      </c>
      <c r="I12">
        <f>SUMIFS(COROP!$S$2:$S$41,COROP!$D$2:$D$41,$A12)*Parameters!$F$12*(1-Parameters!$H$12)*(1-Parameters!$G$12)</f>
        <v>566.88524590163865</v>
      </c>
      <c r="J12">
        <f>K12*Parameters!$B$2</f>
        <v>123.16160106869235</v>
      </c>
      <c r="K12">
        <f>SUMIFS(COROP!$V$2:$V$41,COROP!$D$2:$D$41,$A12)*Parameters!$B$5+SUMIFS(COROP!$R$2:$R$41,COROP!$D$2:$D$41,$A12)*Parameters!$F$12*Parameters!$H$12</f>
        <v>277.11360240455781</v>
      </c>
      <c r="L12">
        <f>SUMIFS(COROP!$W$2:$W$41,COROP!$D$2:$D$41,$A12)*Parameters!$B$5+SUMIFS(COROP!$S$2:$S$41,COROP!$D$2:$D$41,$A12)*Parameters!$F$12*Parameters!$H$12</f>
        <v>243.32123609785455</v>
      </c>
      <c r="M12">
        <f>Parameters!$D$19*SUMIFS(COROP!$Z$2:$Z$41,COROP!$D$2:$D$41,$A12)/SUM(COROP!$Z$2:$Z$41)</f>
        <v>2243.7321485242783</v>
      </c>
      <c r="N12">
        <f>Parameters!$D$19*SUMIFS(COROP!$Z$2:$Z$41,COROP!$D$2:$D$41,$A12)/SUM(COROP!$Z$2:$Z$41)</f>
        <v>2243.7321485242783</v>
      </c>
      <c r="O12">
        <f>Parameters!$D$19*SUMIFS(COROP!$Z$2:$Z$41,COROP!$D$2:$D$41,$A12)/SUM(COROP!$Z$2:$Z$41)</f>
        <v>2243.7321485242783</v>
      </c>
      <c r="P12">
        <f>Q12*Parameters!$B$2</f>
        <v>144.47368421052587</v>
      </c>
      <c r="Q12">
        <f>SUMIFS(COROP!$T$2:$T$41,COROP!$D$2:$D$41,$A12)*Parameters!$F$15*(1-Parameters!$H$15)*Parameters!$G$15</f>
        <v>325.06578947368325</v>
      </c>
      <c r="R12">
        <f>SUMIFS(COROP!$U$2:$U$41,COROP!$D$2:$D$41,$A12)*Parameters!$F$15*(1-Parameters!$H$15)*Parameters!$G$15</f>
        <v>429.40789473684214</v>
      </c>
      <c r="S12">
        <f>T12*Parameters!$B$2</f>
        <v>215.52631578947285</v>
      </c>
      <c r="T12">
        <f>SUMIFS(COROP!$T$2:$T$41,COROP!$D$2:$D$41,$A12)*Parameters!$F$15*(1-Parameters!$H$15)*(1-Parameters!$G$15)</f>
        <v>484.9342105263139</v>
      </c>
      <c r="U12">
        <f>SUMIFS(COROP!$U$2:$U$41,COROP!$D$2:$D$41,$A12)*Parameters!$F$15*(1-Parameters!$H$15)*(1-Parameters!$G$15)</f>
        <v>640.59210526315746</v>
      </c>
      <c r="V12">
        <f>W12*Parameters!$B$2</f>
        <v>35.526315789473564</v>
      </c>
      <c r="W12">
        <f>SUMIFS(COROP!$X$2:$X$41,COROP!$D$2:$D$41,$A12)*Parameters!$B$5+SUMIFS(COROP!$T$2:$T$41,COROP!$D$2:$D$41,$A12)*Parameters!$F$15*Parameters!$H$15</f>
        <v>79.934210526315525</v>
      </c>
      <c r="X12">
        <f>SUMIFS(COROP!$Y$2:$Y$41,COROP!$D$2:$D$41,$A12)*Parameters!$B$5+SUMIFS(COROP!$U$2:$U$41,COROP!$D$2:$D$41,$A12)*Parameters!$F$15*Parameters!$H$15</f>
        <v>105.59210526315788</v>
      </c>
      <c r="Y12">
        <f>Parameters!$D$20*SUMIFS(COROP!$AA$2:$AA$41,COROP!$D$2:$D$41,$A12)/SUM(COROP!$AA$2:$AA$41)</f>
        <v>2239.144182124789</v>
      </c>
      <c r="Z12">
        <f>Parameters!$D$20*SUMIFS(COROP!$AA$2:$AA$41,COROP!$D$2:$D$41,$A12)/SUM(COROP!$AA$2:$AA$41)</f>
        <v>2239.144182124789</v>
      </c>
      <c r="AA12">
        <f>Parameters!$D$20*SUMIFS(COROP!$AA$2:$AA$41,COROP!$D$2:$D$41,$A12)/SUM(COROP!$AA$2:$AA$41)</f>
        <v>2239.144182124789</v>
      </c>
      <c r="AB12">
        <f>AC12*Parameters!$B$2</f>
        <v>332.19672131147553</v>
      </c>
      <c r="AC12">
        <f>SUMIFS(COROP!$R$2:$R$41,COROP!$D$2:$D$41,$A12)*Parameters!$F$11*(1-Parameters!$H$11)*Parameters!$G$11</f>
        <v>747.44262295082001</v>
      </c>
      <c r="AD12">
        <f>SUMIFS(COROP!$S$2:$S$41,COROP!$D$2:$D$41,$A12)*Parameters!$F$11*(1-Parameters!$H$11)*Parameters!$G$11</f>
        <v>953.1147540983593</v>
      </c>
      <c r="AE12">
        <f>AF12*Parameters!$B$2</f>
        <v>132.44444444444457</v>
      </c>
      <c r="AF12">
        <f>SUMIFS(COROP!$R$2:$R$41,COROP!$D$2:$D$41,$A12)*Parameters!$F$11*(1-Parameters!$H$11)*(1-Parameters!$G$11)</f>
        <v>298.00000000000028</v>
      </c>
      <c r="AG12">
        <f>SUMIFS(COROP!$S$2:$S$41,COROP!$D$2:$D$41,$A12)*Parameters!$F$11*(1-Parameters!$H$11)*(1-Parameters!$G$11)</f>
        <v>379.9999999999996</v>
      </c>
      <c r="AH12">
        <f>AI12*Parameters!$B$2</f>
        <v>157.90112748034997</v>
      </c>
      <c r="AI12">
        <f>SUMIFS(COROP!$V$2:$V$41,COROP!$D$2:$D$41,$A12)*Parameters!$B$5+SUMIFS(COROP!$R$2:$R$41,COROP!$D$2:$D$41,$A12)*Parameters!$F$11*Parameters!$H$11</f>
        <v>355.27753683078743</v>
      </c>
      <c r="AJ12">
        <f>SUMIFS(COROP!$W$2:$W$41,COROP!$D$2:$D$41,$A12)*Parameters!$B$5+SUMIFS(COROP!$S$2:$S$41,COROP!$D$2:$D$41,$A12)*Parameters!$F$11*Parameters!$H$11</f>
        <v>342.99336724539546</v>
      </c>
      <c r="AK12">
        <f>Parameters!$D$21*SUMIFS(COROP!$Z$2:$Z$41,COROP!$D$2:$D$41,$A12)/SUM(COROP!$Z$2:$Z$41)</f>
        <v>4551.5709298635356</v>
      </c>
      <c r="AL12">
        <f>Parameters!$D$21*SUMIFS(COROP!$Z$2:$Z$41,COROP!$D$2:$D$41,$A12)/SUM(COROP!$Z$2:$Z$41)</f>
        <v>4551.5709298635356</v>
      </c>
      <c r="AM12">
        <f>Parameters!$D$21*SUMIFS(COROP!$Z$2:$Z$41,COROP!$D$2:$D$41,$A12)/SUM(COROP!$Z$2:$Z$41)</f>
        <v>4551.5709298635356</v>
      </c>
      <c r="AN12">
        <f>AO12*Parameters!$B$2</f>
        <v>108.94736842105236</v>
      </c>
      <c r="AO12">
        <f>SUMIFS(COROP!$T$2:$T$41,COROP!$D$2:$D$41,$A12)*Parameters!$F$14*(1-Parameters!$H$14)*Parameters!$G$14</f>
        <v>245.13157894736781</v>
      </c>
      <c r="AP12">
        <f>SUMIFS(COROP!$U$2:$U$41,COROP!$D$2:$D$41,$A12)*Parameters!$F$14*(1-Parameters!$H$14)*Parameters!$G$14</f>
        <v>323.81578947368433</v>
      </c>
      <c r="AQ12">
        <f>AR12*Parameters!$B$2</f>
        <v>144.4736842105259</v>
      </c>
      <c r="AR12">
        <f>SUMIFS(COROP!$T$2:$T$41,COROP!$D$2:$D$41,$A12)*Parameters!$F$14*(1-Parameters!$H$14)*(1-Parameters!$G$14)</f>
        <v>325.06578947368331</v>
      </c>
      <c r="AS12">
        <f>SUMIFS(COROP!$U$2:$U$41,COROP!$D$2:$D$41,$A12)*Parameters!$F$14*(1-Parameters!$H$14)*(1-Parameters!$G$14)</f>
        <v>429.40789473684214</v>
      </c>
      <c r="AT12">
        <f>AU12*Parameters!$B$2</f>
        <v>73.421052631578704</v>
      </c>
      <c r="AU12">
        <f>SUMIFS(COROP!$X$2:$X$41,COROP!$D$2:$D$41,$A12)*Parameters!$B$5+SUMIFS(COROP!$T$2:$T$41,COROP!$D$2:$D$41,$A12)*Parameters!$F$14*Parameters!$H$14</f>
        <v>165.19736842105209</v>
      </c>
      <c r="AV12">
        <f>SUMIFS(COROP!$Y$2:$Y$41,COROP!$D$2:$D$41,$A12)*Parameters!$B$5+SUMIFS(COROP!$U$2:$U$41,COROP!$D$2:$D$41,$A12)*Parameters!$F$14*Parameters!$H$14</f>
        <v>218.22368421052624</v>
      </c>
      <c r="AW12">
        <f>Parameters!$D$22*SUMIFS(COROP!$AA$2:$AA$41,COROP!$D$2:$D$41,$A12)/SUM(COROP!$AA$2:$AA$41)</f>
        <v>6070</v>
      </c>
      <c r="AX12">
        <f>Parameters!$D$22*SUMIFS(COROP!$AA$2:$AA$41,COROP!$D$2:$D$41,$A12)/SUM(COROP!$AA$2:$AA$41)</f>
        <v>6070</v>
      </c>
      <c r="AY12">
        <f>Parameters!$D$22*SUMIFS(COROP!$AA$2:$AA$41,COROP!$D$2:$D$41,$A12)/SUM(COROP!$AA$2:$AA$41)</f>
        <v>6070</v>
      </c>
    </row>
    <row r="13" spans="1:51" x14ac:dyDescent="0.25">
      <c r="A13">
        <v>12</v>
      </c>
      <c r="B13" t="s">
        <v>99</v>
      </c>
      <c r="C13">
        <v>2</v>
      </c>
      <c r="D13">
        <f>E13*Parameters!$B$2</f>
        <v>1434.6083788706731</v>
      </c>
      <c r="E13">
        <f>SUMIFS(COROP!$R$2:$R$41,COROP!$D$2:$D$41,$A13)*Parameters!$F$12*(1-Parameters!$H$12)*Parameters!$G$12</f>
        <v>3227.8688524590148</v>
      </c>
      <c r="F13">
        <f>SUMIFS(COROP!$S$2:$S$41,COROP!$D$2:$D$41,$A13)*Parameters!$F$12*(1-Parameters!$H$12)*Parameters!$G$12</f>
        <v>5256.5573770491783</v>
      </c>
      <c r="G13">
        <f>H13*Parameters!$B$2</f>
        <v>474.72495446265896</v>
      </c>
      <c r="H13">
        <f>SUMIFS(COROP!$R$2:$R$41,COROP!$D$2:$D$41,$A13)*Parameters!$F$12*(1-Parameters!$H$12)*(1-Parameters!$G$12)</f>
        <v>1068.1311475409827</v>
      </c>
      <c r="I13">
        <f>SUMIFS(COROP!$S$2:$S$41,COROP!$D$2:$D$41,$A13)*Parameters!$F$12*(1-Parameters!$H$12)*(1-Parameters!$G$12)</f>
        <v>1739.4426229508183</v>
      </c>
      <c r="J13">
        <f>K13*Parameters!$B$2</f>
        <v>413.97945956957687</v>
      </c>
      <c r="K13">
        <f>SUMIFS(COROP!$V$2:$V$41,COROP!$D$2:$D$41,$A13)*Parameters!$B$5+SUMIFS(COROP!$R$2:$R$41,COROP!$D$2:$D$41,$A13)*Parameters!$F$12*Parameters!$H$12</f>
        <v>931.45378403154803</v>
      </c>
      <c r="L13">
        <f>SUMIFS(COROP!$W$2:$W$41,COROP!$D$2:$D$41,$A13)*Parameters!$B$5+SUMIFS(COROP!$S$2:$S$41,COROP!$D$2:$D$41,$A13)*Parameters!$F$12*Parameters!$H$12</f>
        <v>1365.8473261340616</v>
      </c>
      <c r="M13">
        <f>Parameters!$D$19*SUMIFS(COROP!$Z$2:$Z$41,COROP!$D$2:$D$41,$A13)/SUM(COROP!$Z$2:$Z$41)</f>
        <v>740.50565957896958</v>
      </c>
      <c r="N13">
        <f>Parameters!$D$19*SUMIFS(COROP!$Z$2:$Z$41,COROP!$D$2:$D$41,$A13)/SUM(COROP!$Z$2:$Z$41)</f>
        <v>740.50565957896958</v>
      </c>
      <c r="O13">
        <f>Parameters!$D$19*SUMIFS(COROP!$Z$2:$Z$41,COROP!$D$2:$D$41,$A13)/SUM(COROP!$Z$2:$Z$41)</f>
        <v>740.50565957896958</v>
      </c>
      <c r="P13">
        <f>Q13*Parameters!$B$2</f>
        <v>281.81286549707579</v>
      </c>
      <c r="Q13">
        <f>SUMIFS(COROP!$T$2:$T$41,COROP!$D$2:$D$41,$A13)*Parameters!$F$15*(1-Parameters!$H$15)*Parameters!$G$15</f>
        <v>634.07894736842059</v>
      </c>
      <c r="R13">
        <f>SUMIFS(COROP!$U$2:$U$41,COROP!$D$2:$D$41,$A13)*Parameters!$F$15*(1-Parameters!$H$15)*Parameters!$G$15</f>
        <v>1007.3026315789467</v>
      </c>
      <c r="S13">
        <f>T13*Parameters!$B$2</f>
        <v>420.40935672514559</v>
      </c>
      <c r="T13">
        <f>SUMIFS(COROP!$T$2:$T$41,COROP!$D$2:$D$41,$A13)*Parameters!$F$15*(1-Parameters!$H$15)*(1-Parameters!$G$15)</f>
        <v>945.9210526315776</v>
      </c>
      <c r="U13">
        <f>SUMIFS(COROP!$U$2:$U$41,COROP!$D$2:$D$41,$A13)*Parameters!$F$15*(1-Parameters!$H$15)*(1-Parameters!$G$15)</f>
        <v>1502.6973684210504</v>
      </c>
      <c r="V13">
        <f>W13*Parameters!$B$2</f>
        <v>178.54310141898495</v>
      </c>
      <c r="W13">
        <f>SUMIFS(COROP!$X$2:$X$41,COROP!$D$2:$D$41,$A13)*Parameters!$B$5+SUMIFS(COROP!$T$2:$T$41,COROP!$D$2:$D$41,$A13)*Parameters!$F$15*Parameters!$H$15</f>
        <v>401.72197819271616</v>
      </c>
      <c r="X13">
        <f>SUMIFS(COROP!$Y$2:$Y$41,COROP!$D$2:$D$41,$A13)*Parameters!$B$5+SUMIFS(COROP!$U$2:$U$41,COROP!$D$2:$D$41,$A13)*Parameters!$F$15*Parameters!$H$15</f>
        <v>523.47401661159677</v>
      </c>
      <c r="Y13">
        <f>Parameters!$D$20*SUMIFS(COROP!$AA$2:$AA$41,COROP!$D$2:$D$41,$A13)/SUM(COROP!$AA$2:$AA$41)</f>
        <v>793.10708263069137</v>
      </c>
      <c r="Z13">
        <f>Parameters!$D$20*SUMIFS(COROP!$AA$2:$AA$41,COROP!$D$2:$D$41,$A13)/SUM(COROP!$AA$2:$AA$41)</f>
        <v>793.10708263069137</v>
      </c>
      <c r="AA13">
        <f>Parameters!$D$20*SUMIFS(COROP!$AA$2:$AA$41,COROP!$D$2:$D$41,$A13)/SUM(COROP!$AA$2:$AA$41)</f>
        <v>793.10708263069137</v>
      </c>
      <c r="AB13">
        <f>AC13*Parameters!$B$2</f>
        <v>798.16393442622848</v>
      </c>
      <c r="AC13">
        <f>SUMIFS(COROP!$R$2:$R$41,COROP!$D$2:$D$41,$A13)*Parameters!$F$11*(1-Parameters!$H$11)*Parameters!$G$11</f>
        <v>1795.8688524590141</v>
      </c>
      <c r="AD13">
        <f>SUMIFS(COROP!$S$2:$S$41,COROP!$D$2:$D$41,$A13)*Parameters!$F$11*(1-Parameters!$H$11)*Parameters!$G$11</f>
        <v>2924.5573770491774</v>
      </c>
      <c r="AE13">
        <f>AF13*Parameters!$B$2</f>
        <v>318.22222222222189</v>
      </c>
      <c r="AF13">
        <f>SUMIFS(COROP!$R$2:$R$41,COROP!$D$2:$D$41,$A13)*Parameters!$F$11*(1-Parameters!$H$11)*(1-Parameters!$G$11)</f>
        <v>715.99999999999932</v>
      </c>
      <c r="AG13">
        <f>SUMIFS(COROP!$S$2:$S$41,COROP!$D$2:$D$41,$A13)*Parameters!$F$11*(1-Parameters!$H$11)*(1-Parameters!$G$11)</f>
        <v>1165.9999999999993</v>
      </c>
      <c r="AH13">
        <f>AI13*Parameters!$B$2</f>
        <v>497.44758343114336</v>
      </c>
      <c r="AI13">
        <f>SUMIFS(COROP!$V$2:$V$41,COROP!$D$2:$D$41,$A13)*Parameters!$B$5+SUMIFS(COROP!$R$2:$R$41,COROP!$D$2:$D$41,$A13)*Parameters!$F$11*Parameters!$H$11</f>
        <v>1119.2570627200726</v>
      </c>
      <c r="AJ13">
        <f>SUMIFS(COROP!$W$2:$W$41,COROP!$D$2:$D$41,$A13)*Parameters!$B$5+SUMIFS(COROP!$S$2:$S$41,COROP!$D$2:$D$41,$A13)*Parameters!$F$11*Parameters!$H$11</f>
        <v>1671.683391707832</v>
      </c>
      <c r="AK13">
        <f>Parameters!$D$21*SUMIFS(COROP!$Z$2:$Z$41,COROP!$D$2:$D$41,$A13)/SUM(COROP!$Z$2:$Z$41)</f>
        <v>1502.1686237173385</v>
      </c>
      <c r="AL13">
        <f>Parameters!$D$21*SUMIFS(COROP!$Z$2:$Z$41,COROP!$D$2:$D$41,$A13)/SUM(COROP!$Z$2:$Z$41)</f>
        <v>1502.1686237173385</v>
      </c>
      <c r="AM13">
        <f>Parameters!$D$21*SUMIFS(COROP!$Z$2:$Z$41,COROP!$D$2:$D$41,$A13)/SUM(COROP!$Z$2:$Z$41)</f>
        <v>1502.1686237173385</v>
      </c>
      <c r="AN13">
        <f>AO13*Parameters!$B$2</f>
        <v>212.51461988304087</v>
      </c>
      <c r="AO13">
        <f>SUMIFS(COROP!$T$2:$T$41,COROP!$D$2:$D$41,$A13)*Parameters!$F$14*(1-Parameters!$H$14)*Parameters!$G$14</f>
        <v>478.15789473684197</v>
      </c>
      <c r="AP13">
        <f>SUMIFS(COROP!$U$2:$U$41,COROP!$D$2:$D$41,$A13)*Parameters!$F$14*(1-Parameters!$H$14)*Parameters!$G$14</f>
        <v>759.60526315789457</v>
      </c>
      <c r="AQ13">
        <f>AR13*Parameters!$B$2</f>
        <v>281.81286549707585</v>
      </c>
      <c r="AR13">
        <f>SUMIFS(COROP!$T$2:$T$41,COROP!$D$2:$D$41,$A13)*Parameters!$F$14*(1-Parameters!$H$14)*(1-Parameters!$G$14)</f>
        <v>634.0789473684207</v>
      </c>
      <c r="AS13">
        <f>SUMIFS(COROP!$U$2:$U$41,COROP!$D$2:$D$41,$A13)*Parameters!$F$14*(1-Parameters!$H$14)*(1-Parameters!$G$14)</f>
        <v>1007.3026315789471</v>
      </c>
      <c r="AT13">
        <f>AU13*Parameters!$B$2</f>
        <v>252.46123007395565</v>
      </c>
      <c r="AU13">
        <f>SUMIFS(COROP!$X$2:$X$41,COROP!$D$2:$D$41,$A13)*Parameters!$B$5+SUMIFS(COROP!$T$2:$T$41,COROP!$D$2:$D$41,$A13)*Parameters!$F$14*Parameters!$H$14</f>
        <v>568.03776766640021</v>
      </c>
      <c r="AV13">
        <f>SUMIFS(COROP!$Y$2:$Y$41,COROP!$D$2:$D$41,$A13)*Parameters!$B$5+SUMIFS(COROP!$U$2:$U$41,COROP!$D$2:$D$41,$A13)*Parameters!$F$14*Parameters!$H$14</f>
        <v>787.68454292738602</v>
      </c>
      <c r="AW13">
        <f>Parameters!$D$22*SUMIFS(COROP!$AA$2:$AA$41,COROP!$D$2:$D$41,$A13)/SUM(COROP!$AA$2:$AA$41)</f>
        <v>2150</v>
      </c>
      <c r="AX13">
        <f>Parameters!$D$22*SUMIFS(COROP!$AA$2:$AA$41,COROP!$D$2:$D$41,$A13)/SUM(COROP!$AA$2:$AA$41)</f>
        <v>2150</v>
      </c>
      <c r="AY13">
        <f>Parameters!$D$22*SUMIFS(COROP!$AA$2:$AA$41,COROP!$D$2:$D$41,$A13)/SUM(COROP!$AA$2:$AA$41)</f>
        <v>2150</v>
      </c>
    </row>
    <row r="15" spans="1:51" x14ac:dyDescent="0.25">
      <c r="A15" s="1" t="s">
        <v>198</v>
      </c>
      <c r="D15">
        <f t="shared" ref="D15:AY15" si="0">SUM(D2:D13)</f>
        <v>17359.562841530053</v>
      </c>
      <c r="E15">
        <f t="shared" si="0"/>
        <v>39059.016393442624</v>
      </c>
      <c r="F15">
        <f t="shared" si="0"/>
        <v>66748.360655737706</v>
      </c>
      <c r="G15">
        <f t="shared" si="0"/>
        <v>5744.4371584699429</v>
      </c>
      <c r="H15">
        <f t="shared" si="0"/>
        <v>12924.983606557373</v>
      </c>
      <c r="I15">
        <f t="shared" si="0"/>
        <v>22087.639344262287</v>
      </c>
      <c r="J15">
        <f t="shared" si="0"/>
        <v>7823.9821442571456</v>
      </c>
      <c r="K15">
        <f t="shared" si="0"/>
        <v>17603.959824578582</v>
      </c>
      <c r="L15">
        <f t="shared" si="0"/>
        <v>24977.539039743053</v>
      </c>
      <c r="M15">
        <f t="shared" si="0"/>
        <v>35000.000000000007</v>
      </c>
      <c r="N15">
        <f t="shared" si="0"/>
        <v>35000.000000000007</v>
      </c>
      <c r="O15">
        <f t="shared" si="0"/>
        <v>35000.000000000007</v>
      </c>
      <c r="P15">
        <f t="shared" si="0"/>
        <v>3524.4444444444434</v>
      </c>
      <c r="Q15">
        <f t="shared" si="0"/>
        <v>7929.9999999999973</v>
      </c>
      <c r="R15">
        <f t="shared" si="0"/>
        <v>12617.368421052628</v>
      </c>
      <c r="S15">
        <f t="shared" si="0"/>
        <v>5257.7777777777719</v>
      </c>
      <c r="T15">
        <f t="shared" si="0"/>
        <v>11829.999999999987</v>
      </c>
      <c r="U15">
        <f t="shared" si="0"/>
        <v>18822.631578947345</v>
      </c>
      <c r="V15">
        <f t="shared" si="0"/>
        <v>3816.2777734003143</v>
      </c>
      <c r="W15">
        <f t="shared" si="0"/>
        <v>8586.6249901507072</v>
      </c>
      <c r="X15">
        <f t="shared" si="0"/>
        <v>10015.033217288623</v>
      </c>
      <c r="Y15">
        <f t="shared" si="0"/>
        <v>35000</v>
      </c>
      <c r="Z15">
        <f t="shared" si="0"/>
        <v>35000</v>
      </c>
      <c r="AA15">
        <f t="shared" si="0"/>
        <v>35000</v>
      </c>
      <c r="AB15">
        <f t="shared" si="0"/>
        <v>9658.2295081967131</v>
      </c>
      <c r="AC15">
        <f t="shared" si="0"/>
        <v>21731.016393442609</v>
      </c>
      <c r="AD15">
        <f t="shared" si="0"/>
        <v>37136.360655737677</v>
      </c>
      <c r="AE15">
        <f t="shared" si="0"/>
        <v>3850.6666666666652</v>
      </c>
      <c r="AF15">
        <f t="shared" si="0"/>
        <v>8663.9999999999982</v>
      </c>
      <c r="AG15">
        <f t="shared" si="0"/>
        <v>14805.999999999998</v>
      </c>
      <c r="AH15">
        <f t="shared" si="0"/>
        <v>8833.993073218895</v>
      </c>
      <c r="AI15">
        <f t="shared" si="0"/>
        <v>19876.484414742517</v>
      </c>
      <c r="AJ15">
        <f t="shared" si="0"/>
        <v>28861.080023349605</v>
      </c>
      <c r="AK15">
        <f t="shared" si="0"/>
        <v>71000.000000000015</v>
      </c>
      <c r="AL15">
        <f t="shared" si="0"/>
        <v>71000.000000000015</v>
      </c>
      <c r="AM15">
        <f t="shared" si="0"/>
        <v>71000.000000000015</v>
      </c>
      <c r="AN15">
        <f t="shared" si="0"/>
        <v>2657.7777777777778</v>
      </c>
      <c r="AO15">
        <f t="shared" si="0"/>
        <v>5980.0000000000009</v>
      </c>
      <c r="AP15">
        <f t="shared" si="0"/>
        <v>9514.7368421052633</v>
      </c>
      <c r="AQ15">
        <f t="shared" si="0"/>
        <v>3524.4444444444443</v>
      </c>
      <c r="AR15">
        <f t="shared" si="0"/>
        <v>7930</v>
      </c>
      <c r="AS15">
        <f t="shared" si="0"/>
        <v>12617.368421052628</v>
      </c>
      <c r="AT15">
        <f t="shared" si="0"/>
        <v>4740.7222178447573</v>
      </c>
      <c r="AU15">
        <f t="shared" si="0"/>
        <v>10666.624990150704</v>
      </c>
      <c r="AV15">
        <f t="shared" si="0"/>
        <v>13324.506901499144</v>
      </c>
      <c r="AW15">
        <f t="shared" si="0"/>
        <v>94880</v>
      </c>
      <c r="AX15">
        <f t="shared" si="0"/>
        <v>94880</v>
      </c>
      <c r="AY15">
        <f t="shared" si="0"/>
        <v>94880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13"/>
  <sheetViews>
    <sheetView workbookViewId="0"/>
  </sheetViews>
  <sheetFormatPr defaultRowHeight="15" x14ac:dyDescent="0.25"/>
  <sheetData>
    <row r="1" spans="1:17" x14ac:dyDescent="0.25">
      <c r="A1" t="s">
        <v>26</v>
      </c>
      <c r="B1" t="s">
        <v>199</v>
      </c>
      <c r="C1" t="s">
        <v>200</v>
      </c>
      <c r="D1" t="s">
        <v>201</v>
      </c>
      <c r="E1" t="s">
        <v>202</v>
      </c>
      <c r="F1" t="s">
        <v>203</v>
      </c>
      <c r="G1" t="s">
        <v>204</v>
      </c>
      <c r="H1" t="s">
        <v>205</v>
      </c>
      <c r="I1" t="s">
        <v>206</v>
      </c>
      <c r="J1" t="s">
        <v>207</v>
      </c>
      <c r="K1" t="s">
        <v>208</v>
      </c>
      <c r="L1" t="s">
        <v>209</v>
      </c>
      <c r="M1" t="s">
        <v>210</v>
      </c>
      <c r="N1" t="s">
        <v>211</v>
      </c>
      <c r="O1" t="s">
        <v>212</v>
      </c>
      <c r="P1" t="s">
        <v>213</v>
      </c>
      <c r="Q1" t="s">
        <v>214</v>
      </c>
    </row>
    <row r="2" spans="1:17" x14ac:dyDescent="0.25">
      <c r="A2">
        <v>1</v>
      </c>
      <c r="B2" t="s">
        <v>51</v>
      </c>
      <c r="C2">
        <f>Province!D2</f>
        <v>569.03460837887076</v>
      </c>
      <c r="D2">
        <f>Province!E2</f>
        <v>1280.3278688524592</v>
      </c>
      <c r="E2">
        <f>Province!F2</f>
        <v>1686.0655737704928</v>
      </c>
      <c r="F2">
        <f>Province!D2</f>
        <v>569.03460837887076</v>
      </c>
      <c r="G2">
        <f>Province!E2</f>
        <v>1280.3278688524592</v>
      </c>
      <c r="H2">
        <f>Province!F2</f>
        <v>1686.0655737704928</v>
      </c>
      <c r="I2">
        <f>Province!P2</f>
        <v>149.82456140350885</v>
      </c>
      <c r="J2">
        <f>Province!Q2</f>
        <v>337.10526315789497</v>
      </c>
      <c r="K2">
        <f>Province!R2</f>
        <v>509.67105263157902</v>
      </c>
      <c r="L2">
        <f>Province!AB2</f>
        <v>316.59016393442607</v>
      </c>
      <c r="M2">
        <f>Province!AC2</f>
        <v>712.32786885245866</v>
      </c>
      <c r="N2">
        <f>Province!AD2</f>
        <v>938.06557377049182</v>
      </c>
      <c r="O2">
        <f>Province!AN2</f>
        <v>112.98245614035099</v>
      </c>
      <c r="P2">
        <f>Province!AO2</f>
        <v>254.21052631578974</v>
      </c>
      <c r="Q2">
        <f>Province!AP2</f>
        <v>384.34210526315809</v>
      </c>
    </row>
    <row r="3" spans="1:17" x14ac:dyDescent="0.25">
      <c r="A3">
        <v>2</v>
      </c>
      <c r="B3" t="s">
        <v>55</v>
      </c>
      <c r="C3">
        <f>Province!D3</f>
        <v>665.20947176684876</v>
      </c>
      <c r="D3">
        <f>Province!E3</f>
        <v>1496.7213114754097</v>
      </c>
      <c r="E3">
        <f>Province!F3</f>
        <v>2281.1475409836053</v>
      </c>
      <c r="F3">
        <f>Province!D3</f>
        <v>665.20947176684876</v>
      </c>
      <c r="G3">
        <f>Province!E3</f>
        <v>1496.7213114754097</v>
      </c>
      <c r="H3">
        <f>Province!F3</f>
        <v>2281.1475409836053</v>
      </c>
      <c r="I3">
        <f>Province!P3</f>
        <v>239.00584795321649</v>
      </c>
      <c r="J3">
        <f>Province!Q3</f>
        <v>537.76315789473711</v>
      </c>
      <c r="K3">
        <f>Province!R3</f>
        <v>995.2631578947362</v>
      </c>
      <c r="L3">
        <f>Province!AB3</f>
        <v>370.09836065573751</v>
      </c>
      <c r="M3">
        <f>Province!AC3</f>
        <v>832.72131147540938</v>
      </c>
      <c r="N3">
        <f>Province!AD3</f>
        <v>1269.1475409836053</v>
      </c>
      <c r="O3">
        <f>Province!AN3</f>
        <v>180.23391812865515</v>
      </c>
      <c r="P3">
        <f>Province!AO3</f>
        <v>405.5263157894741</v>
      </c>
      <c r="Q3">
        <f>Province!AP3</f>
        <v>750.52631578947353</v>
      </c>
    </row>
    <row r="4" spans="1:17" x14ac:dyDescent="0.25">
      <c r="A4">
        <v>3</v>
      </c>
      <c r="B4" t="s">
        <v>59</v>
      </c>
      <c r="C4">
        <f>Province!D4</f>
        <v>597.08561020036416</v>
      </c>
      <c r="D4">
        <f>Province!E4</f>
        <v>1343.4426229508194</v>
      </c>
      <c r="E4">
        <f>Province!F4</f>
        <v>1956.5573770491792</v>
      </c>
      <c r="F4">
        <f>Province!D4</f>
        <v>597.08561020036416</v>
      </c>
      <c r="G4">
        <f>Province!E4</f>
        <v>1343.4426229508194</v>
      </c>
      <c r="H4">
        <f>Province!F4</f>
        <v>1956.5573770491792</v>
      </c>
      <c r="I4">
        <f>Province!P4</f>
        <v>190.84795321637421</v>
      </c>
      <c r="J4">
        <f>Province!Q4</f>
        <v>429.40789473684197</v>
      </c>
      <c r="K4">
        <f>Province!R4</f>
        <v>686.25</v>
      </c>
      <c r="L4">
        <f>Province!AB4</f>
        <v>332.19672131147513</v>
      </c>
      <c r="M4">
        <f>Province!AC4</f>
        <v>747.4426229508191</v>
      </c>
      <c r="N4">
        <f>Province!AD4</f>
        <v>1088.557377049179</v>
      </c>
      <c r="O4">
        <f>Province!AN4</f>
        <v>143.91812865497079</v>
      </c>
      <c r="P4">
        <f>Province!AO4</f>
        <v>323.81578947368428</v>
      </c>
      <c r="Q4">
        <f>Province!AP4</f>
        <v>517.50000000000023</v>
      </c>
    </row>
    <row r="5" spans="1:17" x14ac:dyDescent="0.25">
      <c r="A5">
        <v>4</v>
      </c>
      <c r="B5" t="s">
        <v>63</v>
      </c>
      <c r="C5">
        <f>Province!D5</f>
        <v>1134.0619307832426</v>
      </c>
      <c r="D5">
        <f>Province!E5</f>
        <v>2551.6393442622957</v>
      </c>
      <c r="E5">
        <f>Province!F5</f>
        <v>4129.5081967213127</v>
      </c>
      <c r="F5">
        <f>Province!D5</f>
        <v>1134.0619307832426</v>
      </c>
      <c r="G5">
        <f>Province!E5</f>
        <v>2551.6393442622957</v>
      </c>
      <c r="H5">
        <f>Province!F5</f>
        <v>4129.5081967213127</v>
      </c>
      <c r="I5">
        <f>Province!P5</f>
        <v>328.1871345029241</v>
      </c>
      <c r="J5">
        <f>Province!Q5</f>
        <v>738.4210526315793</v>
      </c>
      <c r="K5">
        <f>Province!R5</f>
        <v>1135.7236842105265</v>
      </c>
      <c r="L5">
        <f>Province!AB5</f>
        <v>630.95081967213082</v>
      </c>
      <c r="M5">
        <f>Province!AC5</f>
        <v>1419.6393442622943</v>
      </c>
      <c r="N5">
        <f>Province!AD5</f>
        <v>2297.5081967213109</v>
      </c>
      <c r="O5">
        <f>Province!AN5</f>
        <v>247.48538011695931</v>
      </c>
      <c r="P5">
        <f>Province!AO5</f>
        <v>556.84210526315849</v>
      </c>
      <c r="Q5">
        <f>Province!AP5</f>
        <v>856.44736842105317</v>
      </c>
    </row>
    <row r="6" spans="1:17" x14ac:dyDescent="0.25">
      <c r="A6">
        <v>5</v>
      </c>
      <c r="B6" t="s">
        <v>67</v>
      </c>
      <c r="C6">
        <f>Province!D6</f>
        <v>2135.8834244080149</v>
      </c>
      <c r="D6">
        <f>Province!E6</f>
        <v>4805.7377049180341</v>
      </c>
      <c r="E6">
        <f>Province!F6</f>
        <v>9097.5409836065573</v>
      </c>
      <c r="F6">
        <f>Province!D6</f>
        <v>2135.8834244080149</v>
      </c>
      <c r="G6">
        <f>Province!E6</f>
        <v>4805.7377049180341</v>
      </c>
      <c r="H6">
        <f>Province!F6</f>
        <v>9097.5409836065573</v>
      </c>
      <c r="I6">
        <f>Province!P6</f>
        <v>328.18713450292421</v>
      </c>
      <c r="J6">
        <f>Province!Q6</f>
        <v>738.42105263157953</v>
      </c>
      <c r="K6">
        <f>Province!R6</f>
        <v>1272.1710526315796</v>
      </c>
      <c r="L6">
        <f>Province!AB6</f>
        <v>1188.3278688524588</v>
      </c>
      <c r="M6">
        <f>Province!AC6</f>
        <v>2673.7377049180323</v>
      </c>
      <c r="N6">
        <f>Province!AD6</f>
        <v>5061.5409836065546</v>
      </c>
      <c r="O6">
        <f>Province!AN6</f>
        <v>247.48538011695936</v>
      </c>
      <c r="P6">
        <f>Province!AO6</f>
        <v>556.8421052631586</v>
      </c>
      <c r="Q6">
        <f>Province!AP6</f>
        <v>959.34210526315871</v>
      </c>
    </row>
    <row r="7" spans="1:17" x14ac:dyDescent="0.25">
      <c r="A7">
        <v>6</v>
      </c>
      <c r="B7" t="s">
        <v>71</v>
      </c>
      <c r="C7">
        <f>Province!D7</f>
        <v>1482.6958105646629</v>
      </c>
      <c r="D7">
        <f>Province!E7</f>
        <v>3336.0655737704915</v>
      </c>
      <c r="E7">
        <f>Province!F7</f>
        <v>6897.5409836065564</v>
      </c>
      <c r="F7">
        <f>Province!D7</f>
        <v>1482.6958105646629</v>
      </c>
      <c r="G7">
        <f>Province!E7</f>
        <v>3336.0655737704915</v>
      </c>
      <c r="H7">
        <f>Province!F7</f>
        <v>6897.5409836065564</v>
      </c>
      <c r="I7">
        <f>Province!P7</f>
        <v>258.62573099415192</v>
      </c>
      <c r="J7">
        <f>Province!Q7</f>
        <v>581.90789473684185</v>
      </c>
      <c r="K7">
        <f>Province!R7</f>
        <v>838.74999999999875</v>
      </c>
      <c r="L7">
        <f>Province!AB7</f>
        <v>824.91803278688451</v>
      </c>
      <c r="M7">
        <f>Province!AC7</f>
        <v>1856.0655737704903</v>
      </c>
      <c r="N7">
        <f>Province!AD7</f>
        <v>3837.5409836065542</v>
      </c>
      <c r="O7">
        <f>Province!AN7</f>
        <v>195.02923976608184</v>
      </c>
      <c r="P7">
        <f>Province!AO7</f>
        <v>438.81578947368416</v>
      </c>
      <c r="Q7">
        <f>Province!AP7</f>
        <v>632.49999999999932</v>
      </c>
    </row>
    <row r="8" spans="1:17" x14ac:dyDescent="0.25">
      <c r="A8">
        <v>7</v>
      </c>
      <c r="B8" t="s">
        <v>73</v>
      </c>
      <c r="C8">
        <f>Province!D8</f>
        <v>2171.9489981785055</v>
      </c>
      <c r="D8">
        <f>Province!E8</f>
        <v>4886.885245901638</v>
      </c>
      <c r="E8">
        <f>Province!F8</f>
        <v>7880.3278688524597</v>
      </c>
      <c r="F8">
        <f>Province!D8</f>
        <v>2171.9489981785055</v>
      </c>
      <c r="G8">
        <f>Province!E8</f>
        <v>4886.885245901638</v>
      </c>
      <c r="H8">
        <f>Province!F8</f>
        <v>7880.3278688524597</v>
      </c>
      <c r="I8">
        <f>Province!P8</f>
        <v>424.50292397660786</v>
      </c>
      <c r="J8">
        <f>Province!Q8</f>
        <v>955.13157894736776</v>
      </c>
      <c r="K8">
        <f>Province!R8</f>
        <v>1392.5657894736842</v>
      </c>
      <c r="L8">
        <f>Province!AB8</f>
        <v>1208.3934426229498</v>
      </c>
      <c r="M8">
        <f>Province!AC8</f>
        <v>2718.8852459016371</v>
      </c>
      <c r="N8">
        <f>Province!AD8</f>
        <v>4384.327868852456</v>
      </c>
      <c r="O8">
        <f>Province!AN8</f>
        <v>320.11695906432732</v>
      </c>
      <c r="P8">
        <f>Province!AO8</f>
        <v>720.26315789473654</v>
      </c>
      <c r="Q8">
        <f>Province!AP8</f>
        <v>1050.1315789473688</v>
      </c>
    </row>
    <row r="9" spans="1:17" x14ac:dyDescent="0.25">
      <c r="A9">
        <v>8</v>
      </c>
      <c r="B9" t="s">
        <v>81</v>
      </c>
      <c r="C9">
        <f>Province!D9</f>
        <v>3101.6393442622943</v>
      </c>
      <c r="D9">
        <f>Province!E9</f>
        <v>6978.6885245901622</v>
      </c>
      <c r="E9">
        <f>Province!F9</f>
        <v>13443.442622950817</v>
      </c>
      <c r="F9">
        <f>Province!D9</f>
        <v>3101.6393442622943</v>
      </c>
      <c r="G9">
        <f>Province!E9</f>
        <v>6978.6885245901622</v>
      </c>
      <c r="H9">
        <f>Province!F9</f>
        <v>13443.442622950817</v>
      </c>
      <c r="I9">
        <f>Province!P9</f>
        <v>583.24561403508744</v>
      </c>
      <c r="J9">
        <f>Province!Q9</f>
        <v>1312.3026315789468</v>
      </c>
      <c r="K9">
        <f>Province!R9</f>
        <v>2283.4868421052606</v>
      </c>
      <c r="L9">
        <f>Province!AB9</f>
        <v>1725.6393442622934</v>
      </c>
      <c r="M9">
        <f>Province!AC9</f>
        <v>3882.6885245901603</v>
      </c>
      <c r="N9">
        <f>Province!AD9</f>
        <v>7479.4426229508144</v>
      </c>
      <c r="O9">
        <f>Province!AN9</f>
        <v>439.82456140350877</v>
      </c>
      <c r="P9">
        <f>Province!AO9</f>
        <v>989.6052631578948</v>
      </c>
      <c r="Q9">
        <f>Province!AP9</f>
        <v>1721.9736842105251</v>
      </c>
    </row>
    <row r="10" spans="1:17" x14ac:dyDescent="0.25">
      <c r="A10">
        <v>9</v>
      </c>
      <c r="B10" t="s">
        <v>88</v>
      </c>
      <c r="C10">
        <f>Province!D10</f>
        <v>260.47358834244073</v>
      </c>
      <c r="D10">
        <f>Province!E10</f>
        <v>586.06557377049171</v>
      </c>
      <c r="E10">
        <f>Province!F10</f>
        <v>865.57377049180332</v>
      </c>
      <c r="F10">
        <f>Province!D10</f>
        <v>260.47358834244073</v>
      </c>
      <c r="G10">
        <f>Province!E10</f>
        <v>586.06557377049171</v>
      </c>
      <c r="H10">
        <f>Province!F10</f>
        <v>865.57377049180332</v>
      </c>
      <c r="I10">
        <f>Province!P10</f>
        <v>64.21052631578921</v>
      </c>
      <c r="J10">
        <f>Province!Q10</f>
        <v>144.47368421052573</v>
      </c>
      <c r="K10">
        <f>Province!R10</f>
        <v>393.2894736842099</v>
      </c>
      <c r="L10">
        <f>Province!AB10</f>
        <v>144.91803278688511</v>
      </c>
      <c r="M10">
        <f>Province!AC10</f>
        <v>326.06557377049154</v>
      </c>
      <c r="N10">
        <f>Province!AD10</f>
        <v>481.57377049180292</v>
      </c>
      <c r="O10">
        <f>Province!AN10</f>
        <v>48.421052631578775</v>
      </c>
      <c r="P10">
        <f>Province!AO10</f>
        <v>108.94736842105225</v>
      </c>
      <c r="Q10">
        <f>Province!AP10</f>
        <v>296.57894736842076</v>
      </c>
    </row>
    <row r="11" spans="1:17" x14ac:dyDescent="0.25">
      <c r="A11">
        <v>10</v>
      </c>
      <c r="B11" t="s">
        <v>91</v>
      </c>
      <c r="C11">
        <f>Province!D11</f>
        <v>3209.8360655737692</v>
      </c>
      <c r="D11">
        <f>Province!E11</f>
        <v>7222.1311475409811</v>
      </c>
      <c r="E11">
        <f>Province!F11</f>
        <v>11540.983606557375</v>
      </c>
      <c r="F11">
        <f>Province!D11</f>
        <v>3209.8360655737692</v>
      </c>
      <c r="G11">
        <f>Province!E11</f>
        <v>7222.1311475409811</v>
      </c>
      <c r="H11">
        <f>Province!F11</f>
        <v>11540.983606557375</v>
      </c>
      <c r="I11">
        <f>Province!P11</f>
        <v>531.52046783625724</v>
      </c>
      <c r="J11">
        <f>Province!Q11</f>
        <v>1195.9210526315787</v>
      </c>
      <c r="K11">
        <f>Province!R11</f>
        <v>1673.4868421052631</v>
      </c>
      <c r="L11">
        <f>Province!AB11</f>
        <v>1785.8360655737688</v>
      </c>
      <c r="M11">
        <f>Province!AC11</f>
        <v>4018.1311475409802</v>
      </c>
      <c r="N11">
        <f>Province!AD11</f>
        <v>6420.9836065573736</v>
      </c>
      <c r="O11">
        <f>Province!AN11</f>
        <v>400.81871345029248</v>
      </c>
      <c r="P11">
        <f>Province!AO11</f>
        <v>901.84210526315815</v>
      </c>
      <c r="Q11">
        <f>Province!AP11</f>
        <v>1261.9736842105267</v>
      </c>
    </row>
    <row r="12" spans="1:17" x14ac:dyDescent="0.25">
      <c r="A12">
        <v>11</v>
      </c>
      <c r="B12" t="s">
        <v>96</v>
      </c>
      <c r="C12">
        <f>Province!D12</f>
        <v>597.08561020036495</v>
      </c>
      <c r="D12">
        <f>Province!E12</f>
        <v>1343.4426229508213</v>
      </c>
      <c r="E12">
        <f>Province!F12</f>
        <v>1713.1147540983591</v>
      </c>
      <c r="F12">
        <f>Province!D12</f>
        <v>597.08561020036495</v>
      </c>
      <c r="G12">
        <f>Province!E12</f>
        <v>1343.4426229508213</v>
      </c>
      <c r="H12">
        <f>Province!F12</f>
        <v>1713.1147540983591</v>
      </c>
      <c r="I12">
        <f>Province!P12</f>
        <v>144.47368421052587</v>
      </c>
      <c r="J12">
        <f>Province!Q12</f>
        <v>325.06578947368325</v>
      </c>
      <c r="K12">
        <f>Province!R12</f>
        <v>429.40789473684214</v>
      </c>
      <c r="L12">
        <f>Province!AB12</f>
        <v>332.19672131147553</v>
      </c>
      <c r="M12">
        <f>Province!AC12</f>
        <v>747.44262295082001</v>
      </c>
      <c r="N12">
        <f>Province!AD12</f>
        <v>953.1147540983593</v>
      </c>
      <c r="O12">
        <f>Province!AN12</f>
        <v>108.94736842105236</v>
      </c>
      <c r="P12">
        <f>Province!AO12</f>
        <v>245.13157894736781</v>
      </c>
      <c r="Q12">
        <f>Province!AP12</f>
        <v>323.81578947368433</v>
      </c>
    </row>
    <row r="13" spans="1:17" x14ac:dyDescent="0.25">
      <c r="A13">
        <v>12</v>
      </c>
      <c r="B13" t="s">
        <v>99</v>
      </c>
      <c r="C13">
        <f>Province!D13</f>
        <v>1434.6083788706731</v>
      </c>
      <c r="D13">
        <f>Province!E13</f>
        <v>3227.8688524590148</v>
      </c>
      <c r="E13">
        <f>Province!F13</f>
        <v>5256.5573770491783</v>
      </c>
      <c r="F13">
        <f>Province!D13</f>
        <v>1434.6083788706731</v>
      </c>
      <c r="G13">
        <f>Province!E13</f>
        <v>3227.8688524590148</v>
      </c>
      <c r="H13">
        <f>Province!F13</f>
        <v>5256.5573770491783</v>
      </c>
      <c r="I13">
        <f>Province!P13</f>
        <v>281.81286549707579</v>
      </c>
      <c r="J13">
        <f>Province!Q13</f>
        <v>634.07894736842059</v>
      </c>
      <c r="K13">
        <f>Province!R13</f>
        <v>1007.3026315789467</v>
      </c>
      <c r="L13">
        <f>Province!AB13</f>
        <v>798.16393442622848</v>
      </c>
      <c r="M13">
        <f>Province!AC13</f>
        <v>1795.8688524590141</v>
      </c>
      <c r="N13">
        <f>Province!AD13</f>
        <v>2924.5573770491774</v>
      </c>
      <c r="O13">
        <f>Province!AN13</f>
        <v>212.51461988304087</v>
      </c>
      <c r="P13">
        <f>Province!AO13</f>
        <v>478.15789473684197</v>
      </c>
      <c r="Q13">
        <f>Province!AP13</f>
        <v>759.60526315789457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13"/>
  <sheetViews>
    <sheetView workbookViewId="0"/>
  </sheetViews>
  <sheetFormatPr defaultRowHeight="15" x14ac:dyDescent="0.25"/>
  <sheetData>
    <row r="1" spans="1:17" x14ac:dyDescent="0.25">
      <c r="A1" t="s">
        <v>26</v>
      </c>
      <c r="B1" t="s">
        <v>199</v>
      </c>
      <c r="C1" t="s">
        <v>200</v>
      </c>
      <c r="D1" t="s">
        <v>201</v>
      </c>
      <c r="E1" t="s">
        <v>202</v>
      </c>
      <c r="F1" t="s">
        <v>203</v>
      </c>
      <c r="G1" t="s">
        <v>204</v>
      </c>
      <c r="H1" t="s">
        <v>205</v>
      </c>
      <c r="I1" t="s">
        <v>206</v>
      </c>
      <c r="J1" t="s">
        <v>207</v>
      </c>
      <c r="K1" t="s">
        <v>208</v>
      </c>
      <c r="L1" t="s">
        <v>209</v>
      </c>
      <c r="M1" t="s">
        <v>210</v>
      </c>
      <c r="N1" t="s">
        <v>211</v>
      </c>
      <c r="O1" t="s">
        <v>212</v>
      </c>
      <c r="P1" t="s">
        <v>213</v>
      </c>
      <c r="Q1" t="s">
        <v>214</v>
      </c>
    </row>
    <row r="2" spans="1:17" x14ac:dyDescent="0.25">
      <c r="A2">
        <v>1</v>
      </c>
      <c r="B2" t="s">
        <v>51</v>
      </c>
      <c r="C2">
        <f>Province!G2</f>
        <v>188.29872495446264</v>
      </c>
      <c r="D2">
        <f>Province!H2</f>
        <v>423.67213114754094</v>
      </c>
      <c r="E2">
        <f>Province!I2</f>
        <v>557.9344262295084</v>
      </c>
      <c r="F2">
        <f>Province!G2</f>
        <v>188.29872495446264</v>
      </c>
      <c r="G2">
        <f>Province!H2</f>
        <v>423.67213114754094</v>
      </c>
      <c r="H2">
        <f>Province!I2</f>
        <v>557.9344262295084</v>
      </c>
      <c r="I2">
        <f>Province!S2</f>
        <v>223.50877192982449</v>
      </c>
      <c r="J2">
        <f>Province!T2</f>
        <v>502.89473684210515</v>
      </c>
      <c r="K2">
        <f>Province!U2</f>
        <v>760.32894736842059</v>
      </c>
      <c r="L2">
        <f>Province!AE2</f>
        <v>126.22222222222221</v>
      </c>
      <c r="M2">
        <f>Province!AF2</f>
        <v>284</v>
      </c>
      <c r="N2">
        <f>Province!AG2</f>
        <v>374.00000000000017</v>
      </c>
      <c r="O2">
        <f>Province!AQ2</f>
        <v>149.82456140350888</v>
      </c>
      <c r="P2">
        <f>Province!AR2</f>
        <v>337.10526315789502</v>
      </c>
      <c r="Q2">
        <f>Province!AS2</f>
        <v>509.67105263157913</v>
      </c>
    </row>
    <row r="3" spans="1:17" x14ac:dyDescent="0.25">
      <c r="A3">
        <v>2</v>
      </c>
      <c r="B3" t="s">
        <v>55</v>
      </c>
      <c r="C3">
        <f>Province!G3</f>
        <v>220.12386156648441</v>
      </c>
      <c r="D3">
        <f>Province!H3</f>
        <v>495.27868852458994</v>
      </c>
      <c r="E3">
        <f>Province!I3</f>
        <v>754.8524590163928</v>
      </c>
      <c r="F3">
        <f>Province!G3</f>
        <v>220.12386156648441</v>
      </c>
      <c r="G3">
        <f>Province!H3</f>
        <v>495.27868852458994</v>
      </c>
      <c r="H3">
        <f>Province!I3</f>
        <v>754.8524590163928</v>
      </c>
      <c r="I3">
        <f>Province!S3</f>
        <v>356.54970760233903</v>
      </c>
      <c r="J3">
        <f>Province!T3</f>
        <v>802.23684210526289</v>
      </c>
      <c r="K3">
        <f>Province!U3</f>
        <v>1484.7368421052611</v>
      </c>
      <c r="L3">
        <f>Province!AE3</f>
        <v>147.55555555555551</v>
      </c>
      <c r="M3">
        <f>Province!AF3</f>
        <v>331.99999999999994</v>
      </c>
      <c r="N3">
        <f>Province!AG3</f>
        <v>505.99999999999966</v>
      </c>
      <c r="O3">
        <f>Province!AQ3</f>
        <v>239.00584795321652</v>
      </c>
      <c r="P3">
        <f>Province!AR3</f>
        <v>537.76315789473722</v>
      </c>
      <c r="Q3">
        <f>Province!AS3</f>
        <v>995.26315789473642</v>
      </c>
    </row>
    <row r="4" spans="1:17" x14ac:dyDescent="0.25">
      <c r="A4">
        <v>3</v>
      </c>
      <c r="B4" t="s">
        <v>59</v>
      </c>
      <c r="C4">
        <f>Province!G4</f>
        <v>197.58105646630227</v>
      </c>
      <c r="D4">
        <f>Province!H4</f>
        <v>444.5573770491801</v>
      </c>
      <c r="E4">
        <f>Province!I4</f>
        <v>647.4426229508191</v>
      </c>
      <c r="F4">
        <f>Province!G4</f>
        <v>197.58105646630227</v>
      </c>
      <c r="G4">
        <f>Province!H4</f>
        <v>444.5573770491801</v>
      </c>
      <c r="H4">
        <f>Province!I4</f>
        <v>647.4426229508191</v>
      </c>
      <c r="I4">
        <f>Province!S4</f>
        <v>284.70760233918094</v>
      </c>
      <c r="J4">
        <f>Province!T4</f>
        <v>640.59210526315712</v>
      </c>
      <c r="K4">
        <f>Province!U4</f>
        <v>1023.7499999999993</v>
      </c>
      <c r="L4">
        <f>Province!AE4</f>
        <v>132.4444444444444</v>
      </c>
      <c r="M4">
        <f>Province!AF4</f>
        <v>297.99999999999989</v>
      </c>
      <c r="N4">
        <f>Province!AG4</f>
        <v>433.99999999999966</v>
      </c>
      <c r="O4">
        <f>Province!AQ4</f>
        <v>190.84795321637424</v>
      </c>
      <c r="P4">
        <f>Province!AR4</f>
        <v>429.40789473684208</v>
      </c>
      <c r="Q4">
        <f>Province!AS4</f>
        <v>686.25000000000023</v>
      </c>
    </row>
    <row r="5" spans="1:17" x14ac:dyDescent="0.25">
      <c r="A5">
        <v>4</v>
      </c>
      <c r="B5" t="s">
        <v>63</v>
      </c>
      <c r="C5">
        <f>Province!G5</f>
        <v>375.27140255009101</v>
      </c>
      <c r="D5">
        <f>Province!H5</f>
        <v>844.36065573770486</v>
      </c>
      <c r="E5">
        <f>Province!I5</f>
        <v>1366.4918032786886</v>
      </c>
      <c r="F5">
        <f>Province!G5</f>
        <v>375.27140255009101</v>
      </c>
      <c r="G5">
        <f>Province!H5</f>
        <v>844.36065573770486</v>
      </c>
      <c r="H5">
        <f>Province!I5</f>
        <v>1366.4918032786886</v>
      </c>
      <c r="I5">
        <f>Province!S5</f>
        <v>489.59064327485356</v>
      </c>
      <c r="J5">
        <f>Province!T5</f>
        <v>1101.5789473684206</v>
      </c>
      <c r="K5">
        <f>Province!U5</f>
        <v>1694.2763157894726</v>
      </c>
      <c r="L5">
        <f>Province!AE5</f>
        <v>251.55555555555554</v>
      </c>
      <c r="M5">
        <f>Province!AF5</f>
        <v>566</v>
      </c>
      <c r="N5">
        <f>Province!AG5</f>
        <v>916.00000000000023</v>
      </c>
      <c r="O5">
        <f>Province!AQ5</f>
        <v>328.18713450292421</v>
      </c>
      <c r="P5">
        <f>Province!AR5</f>
        <v>738.42105263157953</v>
      </c>
      <c r="Q5">
        <f>Province!AS5</f>
        <v>1135.7236842105267</v>
      </c>
    </row>
    <row r="6" spans="1:17" x14ac:dyDescent="0.25">
      <c r="A6">
        <v>5</v>
      </c>
      <c r="B6" t="s">
        <v>67</v>
      </c>
      <c r="C6">
        <f>Province!G6</f>
        <v>706.78324225865208</v>
      </c>
      <c r="D6">
        <f>Province!H6</f>
        <v>1590.2622950819673</v>
      </c>
      <c r="E6">
        <f>Province!I6</f>
        <v>3010.4590163934417</v>
      </c>
      <c r="F6">
        <f>Province!G6</f>
        <v>706.78324225865208</v>
      </c>
      <c r="G6">
        <f>Province!H6</f>
        <v>1590.2622950819673</v>
      </c>
      <c r="H6">
        <f>Province!I6</f>
        <v>3010.4590163934417</v>
      </c>
      <c r="I6">
        <f>Province!S6</f>
        <v>489.59064327485379</v>
      </c>
      <c r="J6">
        <f>Province!T6</f>
        <v>1101.578947368421</v>
      </c>
      <c r="K6">
        <f>Province!U6</f>
        <v>1897.8289473684204</v>
      </c>
      <c r="L6">
        <f>Province!AE6</f>
        <v>473.77777777777783</v>
      </c>
      <c r="M6">
        <f>Province!AF6</f>
        <v>1066.0000000000002</v>
      </c>
      <c r="N6">
        <f>Province!AG6</f>
        <v>2017.9999999999998</v>
      </c>
      <c r="O6">
        <f>Province!AQ6</f>
        <v>328.18713450292427</v>
      </c>
      <c r="P6">
        <f>Province!AR6</f>
        <v>738.42105263157964</v>
      </c>
      <c r="Q6">
        <f>Province!AS6</f>
        <v>1272.1710526315799</v>
      </c>
    </row>
    <row r="7" spans="1:17" x14ac:dyDescent="0.25">
      <c r="A7">
        <v>6</v>
      </c>
      <c r="B7" t="s">
        <v>71</v>
      </c>
      <c r="C7">
        <f>Province!G7</f>
        <v>490.63752276867001</v>
      </c>
      <c r="D7">
        <f>Province!H7</f>
        <v>1103.9344262295076</v>
      </c>
      <c r="E7">
        <f>Province!I7</f>
        <v>2282.4590163934417</v>
      </c>
      <c r="F7">
        <f>Province!G7</f>
        <v>490.63752276867001</v>
      </c>
      <c r="G7">
        <f>Province!H7</f>
        <v>1103.9344262295076</v>
      </c>
      <c r="H7">
        <f>Province!I7</f>
        <v>2282.4590163934417</v>
      </c>
      <c r="I7">
        <f>Province!S7</f>
        <v>385.81871345029191</v>
      </c>
      <c r="J7">
        <f>Province!T7</f>
        <v>868.09210526315678</v>
      </c>
      <c r="K7">
        <f>Province!U7</f>
        <v>1251.249999999997</v>
      </c>
      <c r="L7">
        <f>Province!AE7</f>
        <v>328.88888888888874</v>
      </c>
      <c r="M7">
        <f>Province!AF7</f>
        <v>739.99999999999977</v>
      </c>
      <c r="N7">
        <f>Province!AG7</f>
        <v>1529.9999999999993</v>
      </c>
      <c r="O7">
        <f>Province!AQ7</f>
        <v>258.62573099415198</v>
      </c>
      <c r="P7">
        <f>Province!AR7</f>
        <v>581.90789473684197</v>
      </c>
      <c r="Q7">
        <f>Province!AS7</f>
        <v>838.74999999999886</v>
      </c>
    </row>
    <row r="8" spans="1:17" x14ac:dyDescent="0.25">
      <c r="A8">
        <v>7</v>
      </c>
      <c r="B8" t="s">
        <v>73</v>
      </c>
      <c r="C8">
        <f>Province!G8</f>
        <v>718.7176684881598</v>
      </c>
      <c r="D8">
        <f>Province!H8</f>
        <v>1617.1147540983598</v>
      </c>
      <c r="E8">
        <f>Province!I8</f>
        <v>2607.6721311475403</v>
      </c>
      <c r="F8">
        <f>Province!G8</f>
        <v>718.7176684881598</v>
      </c>
      <c r="G8">
        <f>Province!H8</f>
        <v>1617.1147540983598</v>
      </c>
      <c r="H8">
        <f>Province!I8</f>
        <v>2607.6721311475403</v>
      </c>
      <c r="I8">
        <f>Province!S8</f>
        <v>633.27485380116855</v>
      </c>
      <c r="J8">
        <f>Province!T8</f>
        <v>1424.8684210526294</v>
      </c>
      <c r="K8">
        <f>Province!U8</f>
        <v>2077.434210526314</v>
      </c>
      <c r="L8">
        <f>Province!AE8</f>
        <v>481.77777777777754</v>
      </c>
      <c r="M8">
        <f>Province!AF8</f>
        <v>1083.9999999999995</v>
      </c>
      <c r="N8">
        <f>Province!AG8</f>
        <v>1747.9999999999998</v>
      </c>
      <c r="O8">
        <f>Province!AQ8</f>
        <v>424.50292397660786</v>
      </c>
      <c r="P8">
        <f>Province!AR8</f>
        <v>955.13157894736776</v>
      </c>
      <c r="Q8">
        <f>Province!AS8</f>
        <v>1392.5657894736842</v>
      </c>
    </row>
    <row r="9" spans="1:17" x14ac:dyDescent="0.25">
      <c r="A9">
        <v>8</v>
      </c>
      <c r="B9" t="s">
        <v>81</v>
      </c>
      <c r="C9">
        <f>Province!G9</f>
        <v>1026.3606557377043</v>
      </c>
      <c r="D9">
        <f>Province!H9</f>
        <v>2309.3114754098347</v>
      </c>
      <c r="E9">
        <f>Province!I9</f>
        <v>4448.5573770491783</v>
      </c>
      <c r="F9">
        <f>Province!G9</f>
        <v>1026.3606557377043</v>
      </c>
      <c r="G9">
        <f>Province!H9</f>
        <v>2309.3114754098347</v>
      </c>
      <c r="H9">
        <f>Province!I9</f>
        <v>4448.5573770491783</v>
      </c>
      <c r="I9">
        <f>Province!S9</f>
        <v>870.08771929824456</v>
      </c>
      <c r="J9">
        <f>Province!T9</f>
        <v>1957.6973684210504</v>
      </c>
      <c r="K9">
        <f>Province!U9</f>
        <v>3406.5131578947303</v>
      </c>
      <c r="L9">
        <f>Province!AE9</f>
        <v>687.99999999999955</v>
      </c>
      <c r="M9">
        <f>Province!AF9</f>
        <v>1547.9999999999991</v>
      </c>
      <c r="N9">
        <f>Province!AG9</f>
        <v>2981.9999999999991</v>
      </c>
      <c r="O9">
        <f>Province!AQ9</f>
        <v>583.24561403508767</v>
      </c>
      <c r="P9">
        <f>Province!AR9</f>
        <v>1312.3026315789473</v>
      </c>
      <c r="Q9">
        <f>Province!AS9</f>
        <v>2283.4868421052611</v>
      </c>
    </row>
    <row r="10" spans="1:17" x14ac:dyDescent="0.25">
      <c r="A10">
        <v>9</v>
      </c>
      <c r="B10" t="s">
        <v>88</v>
      </c>
      <c r="C10">
        <f>Province!G10</f>
        <v>86.193078324225809</v>
      </c>
      <c r="D10">
        <f>Province!H10</f>
        <v>193.93442622950809</v>
      </c>
      <c r="E10">
        <f>Province!I10</f>
        <v>286.42622950819668</v>
      </c>
      <c r="F10">
        <f>Province!G10</f>
        <v>86.193078324225809</v>
      </c>
      <c r="G10">
        <f>Province!H10</f>
        <v>193.93442622950809</v>
      </c>
      <c r="H10">
        <f>Province!I10</f>
        <v>286.42622950819668</v>
      </c>
      <c r="I10">
        <f>Province!S10</f>
        <v>95.78947368421008</v>
      </c>
      <c r="J10">
        <f>Province!T10</f>
        <v>215.52631578947268</v>
      </c>
      <c r="K10">
        <f>Province!U10</f>
        <v>586.71052631578812</v>
      </c>
      <c r="L10">
        <f>Province!AE10</f>
        <v>57.77777777777775</v>
      </c>
      <c r="M10">
        <f>Province!AF10</f>
        <v>129.99999999999994</v>
      </c>
      <c r="N10">
        <f>Province!AG10</f>
        <v>191.99999999999994</v>
      </c>
      <c r="O10">
        <f>Province!AQ10</f>
        <v>64.210526315789238</v>
      </c>
      <c r="P10">
        <f>Province!AR10</f>
        <v>144.47368421052579</v>
      </c>
      <c r="Q10">
        <f>Province!AS10</f>
        <v>393.28947368421001</v>
      </c>
    </row>
    <row r="11" spans="1:17" x14ac:dyDescent="0.25">
      <c r="A11">
        <v>10</v>
      </c>
      <c r="B11" t="s">
        <v>91</v>
      </c>
      <c r="C11">
        <f>Province!G11</f>
        <v>1062.1639344262287</v>
      </c>
      <c r="D11">
        <f>Province!H11</f>
        <v>2389.8688524590148</v>
      </c>
      <c r="E11">
        <f>Province!I11</f>
        <v>3819.0163934426214</v>
      </c>
      <c r="F11">
        <f>Province!G11</f>
        <v>1062.1639344262287</v>
      </c>
      <c r="G11">
        <f>Province!H11</f>
        <v>2389.8688524590148</v>
      </c>
      <c r="H11">
        <f>Province!I11</f>
        <v>3819.0163934426214</v>
      </c>
      <c r="I11">
        <f>Province!S11</f>
        <v>792.92397660818642</v>
      </c>
      <c r="J11">
        <f>Province!T11</f>
        <v>1784.0789473684194</v>
      </c>
      <c r="K11">
        <f>Province!U11</f>
        <v>2496.5131578947348</v>
      </c>
      <c r="L11">
        <f>Province!AE11</f>
        <v>711.99999999999966</v>
      </c>
      <c r="M11">
        <f>Province!AF11</f>
        <v>1601.9999999999993</v>
      </c>
      <c r="N11">
        <f>Province!AG11</f>
        <v>2559.9999999999995</v>
      </c>
      <c r="O11">
        <f>Province!AQ11</f>
        <v>531.52046783625724</v>
      </c>
      <c r="P11">
        <f>Province!AR11</f>
        <v>1195.921052631579</v>
      </c>
      <c r="Q11">
        <f>Province!AS11</f>
        <v>1673.4868421052633</v>
      </c>
    </row>
    <row r="12" spans="1:17" x14ac:dyDescent="0.25">
      <c r="A12">
        <v>11</v>
      </c>
      <c r="B12" t="s">
        <v>96</v>
      </c>
      <c r="C12">
        <f>Province!G12</f>
        <v>197.58105646630253</v>
      </c>
      <c r="D12">
        <f>Province!H12</f>
        <v>444.55737704918073</v>
      </c>
      <c r="E12">
        <f>Province!I12</f>
        <v>566.88524590163865</v>
      </c>
      <c r="F12">
        <f>Province!G12</f>
        <v>197.58105646630253</v>
      </c>
      <c r="G12">
        <f>Province!H12</f>
        <v>444.55737704918073</v>
      </c>
      <c r="H12">
        <f>Province!I12</f>
        <v>566.88524590163865</v>
      </c>
      <c r="I12">
        <f>Province!S12</f>
        <v>215.52631578947285</v>
      </c>
      <c r="J12">
        <f>Province!T12</f>
        <v>484.9342105263139</v>
      </c>
      <c r="K12">
        <f>Province!U12</f>
        <v>640.59210526315746</v>
      </c>
      <c r="L12">
        <f>Province!AE12</f>
        <v>132.44444444444457</v>
      </c>
      <c r="M12">
        <f>Province!AF12</f>
        <v>298.00000000000028</v>
      </c>
      <c r="N12">
        <f>Province!AG12</f>
        <v>379.9999999999996</v>
      </c>
      <c r="O12">
        <f>Province!AQ12</f>
        <v>144.4736842105259</v>
      </c>
      <c r="P12">
        <f>Province!AR12</f>
        <v>325.06578947368331</v>
      </c>
      <c r="Q12">
        <f>Province!AS12</f>
        <v>429.40789473684214</v>
      </c>
    </row>
    <row r="13" spans="1:17" x14ac:dyDescent="0.25">
      <c r="A13">
        <v>12</v>
      </c>
      <c r="B13" t="s">
        <v>99</v>
      </c>
      <c r="C13">
        <f>Province!G13</f>
        <v>474.72495446265896</v>
      </c>
      <c r="D13">
        <f>Province!H13</f>
        <v>1068.1311475409827</v>
      </c>
      <c r="E13">
        <f>Province!I13</f>
        <v>1739.4426229508183</v>
      </c>
      <c r="F13">
        <f>Province!G13</f>
        <v>474.72495446265896</v>
      </c>
      <c r="G13">
        <f>Province!H13</f>
        <v>1068.1311475409827</v>
      </c>
      <c r="H13">
        <f>Province!I13</f>
        <v>1739.4426229508183</v>
      </c>
      <c r="I13">
        <f>Province!S13</f>
        <v>420.40935672514559</v>
      </c>
      <c r="J13">
        <f>Province!T13</f>
        <v>945.9210526315776</v>
      </c>
      <c r="K13">
        <f>Province!U13</f>
        <v>1502.6973684210504</v>
      </c>
      <c r="L13">
        <f>Province!AE13</f>
        <v>318.22222222222189</v>
      </c>
      <c r="M13">
        <f>Province!AF13</f>
        <v>715.99999999999932</v>
      </c>
      <c r="N13">
        <f>Province!AG13</f>
        <v>1165.9999999999993</v>
      </c>
      <c r="O13">
        <f>Province!AQ13</f>
        <v>281.81286549707585</v>
      </c>
      <c r="P13">
        <f>Province!AR13</f>
        <v>634.0789473684207</v>
      </c>
      <c r="Q13">
        <f>Province!AS13</f>
        <v>1007.3026315789471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13"/>
  <sheetViews>
    <sheetView workbookViewId="0"/>
  </sheetViews>
  <sheetFormatPr defaultRowHeight="15" x14ac:dyDescent="0.25"/>
  <sheetData>
    <row r="1" spans="1:17" x14ac:dyDescent="0.25">
      <c r="A1" t="s">
        <v>26</v>
      </c>
      <c r="B1" t="s">
        <v>199</v>
      </c>
      <c r="C1" t="s">
        <v>200</v>
      </c>
      <c r="D1" t="s">
        <v>201</v>
      </c>
      <c r="E1" t="s">
        <v>202</v>
      </c>
      <c r="F1" t="s">
        <v>203</v>
      </c>
      <c r="G1" t="s">
        <v>204</v>
      </c>
      <c r="H1" t="s">
        <v>205</v>
      </c>
      <c r="I1" t="s">
        <v>206</v>
      </c>
      <c r="J1" t="s">
        <v>207</v>
      </c>
      <c r="K1" t="s">
        <v>208</v>
      </c>
      <c r="L1" t="s">
        <v>209</v>
      </c>
      <c r="M1" t="s">
        <v>210</v>
      </c>
      <c r="N1" t="s">
        <v>211</v>
      </c>
      <c r="O1" t="s">
        <v>212</v>
      </c>
      <c r="P1" t="s">
        <v>213</v>
      </c>
      <c r="Q1" t="s">
        <v>214</v>
      </c>
    </row>
    <row r="2" spans="1:17" x14ac:dyDescent="0.25">
      <c r="A2">
        <v>1</v>
      </c>
      <c r="B2" t="s">
        <v>51</v>
      </c>
      <c r="C2">
        <f>Province!J2</f>
        <v>214.88935015981644</v>
      </c>
      <c r="D2">
        <f>Province!K2</f>
        <v>483.50103785958703</v>
      </c>
      <c r="E2">
        <f>Province!L2</f>
        <v>613.54478686643586</v>
      </c>
      <c r="F2">
        <f>Province!J2</f>
        <v>214.88935015981644</v>
      </c>
      <c r="G2">
        <f>Province!K2</f>
        <v>483.50103785958703</v>
      </c>
      <c r="H2">
        <f>Province!L2</f>
        <v>613.54478686643586</v>
      </c>
      <c r="I2">
        <f>Province!V2</f>
        <v>146.08696106810783</v>
      </c>
      <c r="J2">
        <f>Province!W2</f>
        <v>328.69566240324264</v>
      </c>
      <c r="K2">
        <f>Province!X2</f>
        <v>347.14929482603281</v>
      </c>
      <c r="L2">
        <f>Province!AH2</f>
        <v>247.99681828367804</v>
      </c>
      <c r="M2">
        <f>Province!AI2</f>
        <v>557.99284113827559</v>
      </c>
      <c r="N2">
        <f>Province!AJ2</f>
        <v>711.64314752217365</v>
      </c>
      <c r="O2">
        <f>Province!AT2</f>
        <v>185.38520668214295</v>
      </c>
      <c r="P2">
        <f>Province!AU2</f>
        <v>417.11671503482165</v>
      </c>
      <c r="Q2">
        <f>Province!AV2</f>
        <v>480.8335053523486</v>
      </c>
    </row>
    <row r="3" spans="1:17" x14ac:dyDescent="0.25">
      <c r="A3">
        <v>2</v>
      </c>
      <c r="B3" t="s">
        <v>55</v>
      </c>
      <c r="C3">
        <f>Province!J3</f>
        <v>105.56137863787175</v>
      </c>
      <c r="D3">
        <f>Province!K3</f>
        <v>237.51310193521147</v>
      </c>
      <c r="E3">
        <f>Province!L3</f>
        <v>328.26114338816421</v>
      </c>
      <c r="F3">
        <f>Province!J3</f>
        <v>105.56137863787175</v>
      </c>
      <c r="G3">
        <f>Province!K3</f>
        <v>237.51310193521147</v>
      </c>
      <c r="H3">
        <f>Province!L3</f>
        <v>328.26114338816421</v>
      </c>
      <c r="I3">
        <f>Province!V3</f>
        <v>72.094473215408968</v>
      </c>
      <c r="J3">
        <f>Province!W3</f>
        <v>162.2125647346702</v>
      </c>
      <c r="K3">
        <f>Province!X3</f>
        <v>262.72227568290714</v>
      </c>
      <c r="L3">
        <f>Province!AH3</f>
        <v>144.26447517703386</v>
      </c>
      <c r="M3">
        <f>Province!AI3</f>
        <v>324.59506914832622</v>
      </c>
      <c r="N3">
        <f>Province!AJ3</f>
        <v>460.98245486357393</v>
      </c>
      <c r="O3">
        <f>Province!AT3</f>
        <v>134.78453169494117</v>
      </c>
      <c r="P3">
        <f>Province!AU3</f>
        <v>303.26519631361765</v>
      </c>
      <c r="Q3">
        <f>Province!AV3</f>
        <v>523.77490726185431</v>
      </c>
    </row>
    <row r="4" spans="1:17" x14ac:dyDescent="0.25">
      <c r="A4">
        <v>3</v>
      </c>
      <c r="B4" t="s">
        <v>59</v>
      </c>
      <c r="C4">
        <f>Province!J4</f>
        <v>64.542410148963086</v>
      </c>
      <c r="D4">
        <f>Province!K4</f>
        <v>145.22042283516694</v>
      </c>
      <c r="E4">
        <f>Province!L4</f>
        <v>214.63391294127496</v>
      </c>
      <c r="F4">
        <f>Province!J4</f>
        <v>64.542410148963086</v>
      </c>
      <c r="G4">
        <f>Province!K4</f>
        <v>145.22042283516694</v>
      </c>
      <c r="H4">
        <f>Province!L4</f>
        <v>214.63391294127496</v>
      </c>
      <c r="I4">
        <f>Province!V4</f>
        <v>46.929824561403478</v>
      </c>
      <c r="J4">
        <f>Province!W4</f>
        <v>105.59210526315783</v>
      </c>
      <c r="K4">
        <f>Province!X4</f>
        <v>168.74999999999997</v>
      </c>
      <c r="L4">
        <f>Province!AH4</f>
        <v>99.281936560620622</v>
      </c>
      <c r="M4">
        <f>Province!AI4</f>
        <v>223.38435726139642</v>
      </c>
      <c r="N4">
        <f>Province!AJ4</f>
        <v>328.4699785150454</v>
      </c>
      <c r="O4">
        <f>Province!AT4</f>
        <v>96.988304093567194</v>
      </c>
      <c r="P4">
        <f>Province!AU4</f>
        <v>218.22368421052619</v>
      </c>
      <c r="Q4">
        <f>Province!AV4</f>
        <v>348.74999999999994</v>
      </c>
    </row>
    <row r="5" spans="1:17" x14ac:dyDescent="0.25">
      <c r="A5">
        <v>4</v>
      </c>
      <c r="B5" t="s">
        <v>63</v>
      </c>
      <c r="C5">
        <f>Province!J5</f>
        <v>251.03803964730307</v>
      </c>
      <c r="D5">
        <f>Province!K5</f>
        <v>564.83558920643191</v>
      </c>
      <c r="E5">
        <f>Province!L5</f>
        <v>842.74578780512843</v>
      </c>
      <c r="F5">
        <f>Province!J5</f>
        <v>251.03803964730307</v>
      </c>
      <c r="G5">
        <f>Province!K5</f>
        <v>564.83558920643191</v>
      </c>
      <c r="H5">
        <f>Province!L5</f>
        <v>842.74578780512843</v>
      </c>
      <c r="I5">
        <f>Province!V5</f>
        <v>136.65643662752464</v>
      </c>
      <c r="J5">
        <f>Province!W5</f>
        <v>307.47698241193046</v>
      </c>
      <c r="K5">
        <f>Province!X5</f>
        <v>435.15007346239003</v>
      </c>
      <c r="L5">
        <f>Province!AH5</f>
        <v>317.01982471105532</v>
      </c>
      <c r="M5">
        <f>Province!AI5</f>
        <v>713.29460559987456</v>
      </c>
      <c r="N5">
        <f>Province!AJ5</f>
        <v>1083.0080828870957</v>
      </c>
      <c r="O5">
        <f>Province!AT5</f>
        <v>222.73830797255391</v>
      </c>
      <c r="P5">
        <f>Province!AU5</f>
        <v>501.16119293824636</v>
      </c>
      <c r="Q5">
        <f>Province!AV5</f>
        <v>733.04481030449529</v>
      </c>
    </row>
    <row r="6" spans="1:17" x14ac:dyDescent="0.25">
      <c r="A6">
        <v>5</v>
      </c>
      <c r="B6" t="s">
        <v>67</v>
      </c>
      <c r="C6">
        <f>Province!J6</f>
        <v>779.96539310464527</v>
      </c>
      <c r="D6">
        <f>Province!K6</f>
        <v>1754.922134485452</v>
      </c>
      <c r="E6">
        <f>Province!L6</f>
        <v>2654.4815375140251</v>
      </c>
      <c r="F6">
        <f>Province!J6</f>
        <v>779.96539310464527</v>
      </c>
      <c r="G6">
        <f>Province!K6</f>
        <v>1754.922134485452</v>
      </c>
      <c r="H6">
        <f>Province!L6</f>
        <v>2654.4815375140251</v>
      </c>
      <c r="I6">
        <f>Province!V6</f>
        <v>325.83655277755992</v>
      </c>
      <c r="J6">
        <f>Province!W6</f>
        <v>733.13224374950983</v>
      </c>
      <c r="K6">
        <f>Province!X6</f>
        <v>798.43565396481449</v>
      </c>
      <c r="L6">
        <f>Province!AH6</f>
        <v>904.23497416111161</v>
      </c>
      <c r="M6">
        <f>Province!AI6</f>
        <v>2034.5286918625013</v>
      </c>
      <c r="N6">
        <f>Province!AJ6</f>
        <v>3183.7930129238612</v>
      </c>
      <c r="O6">
        <f>Province!AT6</f>
        <v>411.91842412258916</v>
      </c>
      <c r="P6">
        <f>Province!AU6</f>
        <v>926.81645427582566</v>
      </c>
      <c r="Q6">
        <f>Province!AV6</f>
        <v>1132.1198644911303</v>
      </c>
    </row>
    <row r="7" spans="1:17" x14ac:dyDescent="0.25">
      <c r="A7">
        <v>6</v>
      </c>
      <c r="B7" t="s">
        <v>71</v>
      </c>
      <c r="C7">
        <f>Province!J7</f>
        <v>933.517093954134</v>
      </c>
      <c r="D7">
        <f>Province!K7</f>
        <v>2100.4134613968017</v>
      </c>
      <c r="E7">
        <f>Province!L7</f>
        <v>3253.8988806197931</v>
      </c>
      <c r="F7">
        <f>Province!J7</f>
        <v>933.517093954134</v>
      </c>
      <c r="G7">
        <f>Province!K7</f>
        <v>2100.4134613968017</v>
      </c>
      <c r="H7">
        <f>Province!L7</f>
        <v>3253.8988806197931</v>
      </c>
      <c r="I7">
        <f>Province!V7</f>
        <v>436.62770617180161</v>
      </c>
      <c r="J7">
        <f>Province!W7</f>
        <v>982.4123388865537</v>
      </c>
      <c r="K7">
        <f>Province!X7</f>
        <v>1105.5216788822095</v>
      </c>
      <c r="L7">
        <f>Province!AH7</f>
        <v>1019.7830320233509</v>
      </c>
      <c r="M7">
        <f>Province!AI7</f>
        <v>2294.5118220525396</v>
      </c>
      <c r="N7">
        <f>Province!AJ7</f>
        <v>3655.2103560296291</v>
      </c>
      <c r="O7">
        <f>Province!AT7</f>
        <v>504.46396348174312</v>
      </c>
      <c r="P7">
        <f>Province!AU7</f>
        <v>1135.043917833922</v>
      </c>
      <c r="Q7">
        <f>Province!AV7</f>
        <v>1325.521678882209</v>
      </c>
    </row>
    <row r="8" spans="1:17" x14ac:dyDescent="0.25">
      <c r="A8">
        <v>7</v>
      </c>
      <c r="B8" t="s">
        <v>73</v>
      </c>
      <c r="C8">
        <f>Province!J8</f>
        <v>1821.0909907055084</v>
      </c>
      <c r="D8">
        <f>Province!K8</f>
        <v>4097.4547290873943</v>
      </c>
      <c r="E8">
        <f>Province!L8</f>
        <v>5519.7137680470787</v>
      </c>
      <c r="F8">
        <f>Province!J8</f>
        <v>1821.0909907055084</v>
      </c>
      <c r="G8">
        <f>Province!K8</f>
        <v>4097.4547290873943</v>
      </c>
      <c r="H8">
        <f>Province!L8</f>
        <v>5519.7137680470787</v>
      </c>
      <c r="I8">
        <f>Province!V8</f>
        <v>1042.2930196279483</v>
      </c>
      <c r="J8">
        <f>Province!W8</f>
        <v>2345.1592941628837</v>
      </c>
      <c r="K8">
        <f>Province!X8</f>
        <v>2662.5551420424172</v>
      </c>
      <c r="L8">
        <f>Province!AH8</f>
        <v>1947.4589324177123</v>
      </c>
      <c r="M8">
        <f>Province!AI8</f>
        <v>4381.7825979398531</v>
      </c>
      <c r="N8">
        <f>Province!AJ8</f>
        <v>5978.2055713257669</v>
      </c>
      <c r="O8">
        <f>Province!AT8</f>
        <v>1153.6380488677144</v>
      </c>
      <c r="P8">
        <f>Province!AU8</f>
        <v>2595.6856099523575</v>
      </c>
      <c r="Q8">
        <f>Province!AV8</f>
        <v>3027.8182999371538</v>
      </c>
    </row>
    <row r="9" spans="1:17" x14ac:dyDescent="0.25">
      <c r="A9">
        <v>8</v>
      </c>
      <c r="B9" t="s">
        <v>81</v>
      </c>
      <c r="C9">
        <f>Province!J9</f>
        <v>1917.0980207480513</v>
      </c>
      <c r="D9">
        <f>Province!K9</f>
        <v>4313.4705466831156</v>
      </c>
      <c r="E9">
        <f>Province!L9</f>
        <v>6152.8893399213757</v>
      </c>
      <c r="F9">
        <f>Province!J9</f>
        <v>1917.0980207480513</v>
      </c>
      <c r="G9">
        <f>Province!K9</f>
        <v>4313.4705466831156</v>
      </c>
      <c r="H9">
        <f>Province!L9</f>
        <v>6152.8893399213757</v>
      </c>
      <c r="I9">
        <f>Province!V9</f>
        <v>1060.0120379218904</v>
      </c>
      <c r="J9">
        <f>Province!W9</f>
        <v>2385.0270853242537</v>
      </c>
      <c r="K9">
        <f>Province!X9</f>
        <v>2713.7700426861584</v>
      </c>
      <c r="L9">
        <f>Province!AH9</f>
        <v>2097.5570371414942</v>
      </c>
      <c r="M9">
        <f>Province!AI9</f>
        <v>4719.503333568362</v>
      </c>
      <c r="N9">
        <f>Province!AJ9</f>
        <v>6935.0532743476051</v>
      </c>
      <c r="O9">
        <f>Province!AT9</f>
        <v>1212.9944940622411</v>
      </c>
      <c r="P9">
        <f>Province!AU9</f>
        <v>2729.2376116400428</v>
      </c>
      <c r="Q9">
        <f>Province!AV9</f>
        <v>3312.71741110721</v>
      </c>
    </row>
    <row r="10" spans="1:17" x14ac:dyDescent="0.25">
      <c r="A10">
        <v>9</v>
      </c>
      <c r="B10" t="s">
        <v>88</v>
      </c>
      <c r="C10">
        <f>Province!J10</f>
        <v>64.833315158444748</v>
      </c>
      <c r="D10">
        <f>Province!K10</f>
        <v>145.87495910650068</v>
      </c>
      <c r="E10">
        <f>Province!L10</f>
        <v>161.12086074584494</v>
      </c>
      <c r="F10">
        <f>Province!J10</f>
        <v>64.833315158444748</v>
      </c>
      <c r="G10">
        <f>Province!K10</f>
        <v>145.87495910650068</v>
      </c>
      <c r="H10">
        <f>Province!L10</f>
        <v>161.12086074584494</v>
      </c>
      <c r="I10">
        <f>Province!V10</f>
        <v>15.78947368421046</v>
      </c>
      <c r="J10">
        <f>Province!W10</f>
        <v>35.526315789473536</v>
      </c>
      <c r="K10">
        <f>Province!X10</f>
        <v>96.710526315789295</v>
      </c>
      <c r="L10">
        <f>Province!AH10</f>
        <v>79.988142116550378</v>
      </c>
      <c r="M10">
        <f>Province!AI10</f>
        <v>179.97331976223836</v>
      </c>
      <c r="N10">
        <f>Province!AJ10</f>
        <v>211.48151648354985</v>
      </c>
      <c r="O10">
        <f>Province!AT10</f>
        <v>32.631578947368283</v>
      </c>
      <c r="P10">
        <f>Province!AU10</f>
        <v>73.421052631578647</v>
      </c>
      <c r="Q10">
        <f>Province!AV10</f>
        <v>199.86842105263125</v>
      </c>
    </row>
    <row r="11" spans="1:17" x14ac:dyDescent="0.25">
      <c r="A11">
        <v>10</v>
      </c>
      <c r="B11" t="s">
        <v>91</v>
      </c>
      <c r="C11">
        <f>Province!J11</f>
        <v>1134.3050913541385</v>
      </c>
      <c r="D11">
        <f>Province!K11</f>
        <v>2552.1864555468119</v>
      </c>
      <c r="E11">
        <f>Province!L11</f>
        <v>3627.080459662011</v>
      </c>
      <c r="F11">
        <f>Province!J11</f>
        <v>1134.3050913541385</v>
      </c>
      <c r="G11">
        <f>Province!K11</f>
        <v>2552.1864555468119</v>
      </c>
      <c r="H11">
        <f>Province!L11</f>
        <v>3627.080459662011</v>
      </c>
      <c r="I11">
        <f>Province!V11</f>
        <v>319.88187053600012</v>
      </c>
      <c r="J11">
        <f>Province!W11</f>
        <v>719.73420870600035</v>
      </c>
      <c r="K11">
        <f>Province!X11</f>
        <v>795.20240755114628</v>
      </c>
      <c r="L11">
        <f>Province!AH11</f>
        <v>1321.0591897147942</v>
      </c>
      <c r="M11">
        <f>Province!AI11</f>
        <v>2972.3831768582872</v>
      </c>
      <c r="N11">
        <f>Province!AJ11</f>
        <v>4298.5558694980764</v>
      </c>
      <c r="O11">
        <f>Province!AT11</f>
        <v>459.29707521436262</v>
      </c>
      <c r="P11">
        <f>Province!AU11</f>
        <v>1033.418419232316</v>
      </c>
      <c r="Q11">
        <f>Province!AV11</f>
        <v>1234.1497759721988</v>
      </c>
    </row>
    <row r="12" spans="1:17" x14ac:dyDescent="0.25">
      <c r="A12">
        <v>11</v>
      </c>
      <c r="B12" t="s">
        <v>96</v>
      </c>
      <c r="C12">
        <f>Province!J12</f>
        <v>123.16160106869235</v>
      </c>
      <c r="D12">
        <f>Province!K12</f>
        <v>277.11360240455781</v>
      </c>
      <c r="E12">
        <f>Province!L12</f>
        <v>243.32123609785455</v>
      </c>
      <c r="F12">
        <f>Province!J12</f>
        <v>123.16160106869235</v>
      </c>
      <c r="G12">
        <f>Province!K12</f>
        <v>277.11360240455781</v>
      </c>
      <c r="H12">
        <f>Province!L12</f>
        <v>243.32123609785455</v>
      </c>
      <c r="I12">
        <f>Province!V12</f>
        <v>35.526315789473564</v>
      </c>
      <c r="J12">
        <f>Province!W12</f>
        <v>79.934210526315525</v>
      </c>
      <c r="K12">
        <f>Province!X12</f>
        <v>105.59210526315788</v>
      </c>
      <c r="L12">
        <f>Province!AH12</f>
        <v>157.90112748034997</v>
      </c>
      <c r="M12">
        <f>Province!AI12</f>
        <v>355.27753683078743</v>
      </c>
      <c r="N12">
        <f>Province!AJ12</f>
        <v>342.99336724539546</v>
      </c>
      <c r="O12">
        <f>Province!AT12</f>
        <v>73.421052631578704</v>
      </c>
      <c r="P12">
        <f>Province!AU12</f>
        <v>165.19736842105209</v>
      </c>
      <c r="Q12">
        <f>Province!AV12</f>
        <v>218.22368421052624</v>
      </c>
    </row>
    <row r="13" spans="1:17" x14ac:dyDescent="0.25">
      <c r="A13">
        <v>12</v>
      </c>
      <c r="B13" t="s">
        <v>99</v>
      </c>
      <c r="C13">
        <f>Province!J13</f>
        <v>413.97945956957687</v>
      </c>
      <c r="D13">
        <f>Province!K13</f>
        <v>931.45378403154803</v>
      </c>
      <c r="E13">
        <f>Province!L13</f>
        <v>1365.8473261340616</v>
      </c>
      <c r="F13">
        <f>Province!J13</f>
        <v>413.97945956957687</v>
      </c>
      <c r="G13">
        <f>Province!K13</f>
        <v>931.45378403154803</v>
      </c>
      <c r="H13">
        <f>Province!L13</f>
        <v>1365.8473261340616</v>
      </c>
      <c r="I13">
        <f>Province!V13</f>
        <v>178.54310141898495</v>
      </c>
      <c r="J13">
        <f>Province!W13</f>
        <v>401.72197819271616</v>
      </c>
      <c r="K13">
        <f>Province!X13</f>
        <v>523.47401661159677</v>
      </c>
      <c r="L13">
        <f>Province!AH13</f>
        <v>497.44758343114336</v>
      </c>
      <c r="M13">
        <f>Province!AI13</f>
        <v>1119.2570627200726</v>
      </c>
      <c r="N13">
        <f>Province!AJ13</f>
        <v>1671.683391707832</v>
      </c>
      <c r="O13">
        <f>Province!AT13</f>
        <v>252.46123007395565</v>
      </c>
      <c r="P13">
        <f>Province!AU13</f>
        <v>568.03776766640021</v>
      </c>
      <c r="Q13">
        <f>Province!AV13</f>
        <v>787.68454292738602</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3"/>
  <sheetViews>
    <sheetView workbookViewId="0"/>
  </sheetViews>
  <sheetFormatPr defaultRowHeight="15" x14ac:dyDescent="0.25"/>
  <sheetData>
    <row r="1" spans="1:17" x14ac:dyDescent="0.25">
      <c r="A1" t="s">
        <v>26</v>
      </c>
      <c r="B1" t="s">
        <v>199</v>
      </c>
      <c r="C1" t="s">
        <v>200</v>
      </c>
      <c r="D1" t="s">
        <v>201</v>
      </c>
      <c r="E1" t="s">
        <v>202</v>
      </c>
      <c r="F1" t="s">
        <v>203</v>
      </c>
      <c r="G1" t="s">
        <v>204</v>
      </c>
      <c r="H1" t="s">
        <v>205</v>
      </c>
      <c r="I1" t="s">
        <v>206</v>
      </c>
      <c r="J1" t="s">
        <v>207</v>
      </c>
      <c r="K1" t="s">
        <v>208</v>
      </c>
      <c r="L1" t="s">
        <v>209</v>
      </c>
      <c r="M1" t="s">
        <v>210</v>
      </c>
      <c r="N1" t="s">
        <v>211</v>
      </c>
      <c r="O1" t="s">
        <v>212</v>
      </c>
      <c r="P1" t="s">
        <v>213</v>
      </c>
      <c r="Q1" t="s">
        <v>214</v>
      </c>
    </row>
    <row r="2" spans="1:17" x14ac:dyDescent="0.25">
      <c r="A2">
        <v>1</v>
      </c>
      <c r="B2" t="s">
        <v>51</v>
      </c>
      <c r="C2">
        <f>Province!M2</f>
        <v>1595.7896963926798</v>
      </c>
      <c r="D2">
        <f>Province!N2</f>
        <v>1595.7896963926798</v>
      </c>
      <c r="E2">
        <f>Province!O2</f>
        <v>1595.7896963926798</v>
      </c>
      <c r="F2">
        <f>Province!M2</f>
        <v>1595.7896963926798</v>
      </c>
      <c r="G2">
        <f>Province!N2</f>
        <v>1595.7896963926798</v>
      </c>
      <c r="H2">
        <f>Province!O2</f>
        <v>1595.7896963926798</v>
      </c>
      <c r="I2">
        <f>Province!Y2</f>
        <v>1589.9030354131537</v>
      </c>
      <c r="J2">
        <f>Province!Z2</f>
        <v>1589.9030354131537</v>
      </c>
      <c r="K2">
        <f>Province!AA2</f>
        <v>1589.9030354131537</v>
      </c>
      <c r="L2">
        <f>Province!AK2</f>
        <v>3237.1733841108648</v>
      </c>
      <c r="M2">
        <f>Province!AL2</f>
        <v>3237.1733841108648</v>
      </c>
      <c r="N2">
        <f>Province!AM2</f>
        <v>3237.1733841108648</v>
      </c>
      <c r="O2">
        <f>Province!AW2</f>
        <v>4310.0000000000009</v>
      </c>
      <c r="P2">
        <f>Province!AX2</f>
        <v>4310.0000000000009</v>
      </c>
      <c r="Q2">
        <f>Province!AY2</f>
        <v>4310.0000000000009</v>
      </c>
    </row>
    <row r="3" spans="1:17" x14ac:dyDescent="0.25">
      <c r="A3">
        <v>2</v>
      </c>
      <c r="B3" t="s">
        <v>55</v>
      </c>
      <c r="C3">
        <f>Province!M3</f>
        <v>2669.5229027821861</v>
      </c>
      <c r="D3">
        <f>Province!N3</f>
        <v>2669.5229027821861</v>
      </c>
      <c r="E3">
        <f>Province!O3</f>
        <v>2669.5229027821861</v>
      </c>
      <c r="F3">
        <f>Province!M3</f>
        <v>2669.5229027821861</v>
      </c>
      <c r="G3">
        <f>Province!N3</f>
        <v>2669.5229027821861</v>
      </c>
      <c r="H3">
        <f>Province!O3</f>
        <v>2669.5229027821861</v>
      </c>
      <c r="I3">
        <f>Province!Y3</f>
        <v>2655.9865092748737</v>
      </c>
      <c r="J3">
        <f>Province!Z3</f>
        <v>2655.9865092748737</v>
      </c>
      <c r="K3">
        <f>Province!AA3</f>
        <v>2655.9865092748737</v>
      </c>
      <c r="L3">
        <f>Province!AK3</f>
        <v>5415.3178885010066</v>
      </c>
      <c r="M3">
        <f>Province!AL3</f>
        <v>5415.3178885010066</v>
      </c>
      <c r="N3">
        <f>Province!AM3</f>
        <v>5415.3178885010066</v>
      </c>
      <c r="O3">
        <f>Province!AW3</f>
        <v>7200</v>
      </c>
      <c r="P3">
        <f>Province!AX3</f>
        <v>7200</v>
      </c>
      <c r="Q3">
        <f>Province!AY3</f>
        <v>7200</v>
      </c>
    </row>
    <row r="4" spans="1:17" x14ac:dyDescent="0.25">
      <c r="A4">
        <v>3</v>
      </c>
      <c r="B4" t="s">
        <v>59</v>
      </c>
      <c r="C4">
        <f>Province!M4</f>
        <v>2765.7886385274523</v>
      </c>
      <c r="D4">
        <f>Province!N4</f>
        <v>2765.7886385274523</v>
      </c>
      <c r="E4">
        <f>Province!O4</f>
        <v>2765.7886385274523</v>
      </c>
      <c r="F4">
        <f>Province!M4</f>
        <v>2765.7886385274523</v>
      </c>
      <c r="G4">
        <f>Province!N4</f>
        <v>2765.7886385274523</v>
      </c>
      <c r="H4">
        <f>Province!O4</f>
        <v>2765.7886385274523</v>
      </c>
      <c r="I4">
        <f>Province!Y4</f>
        <v>2762.9637436762227</v>
      </c>
      <c r="J4">
        <f>Province!Z4</f>
        <v>2762.9637436762227</v>
      </c>
      <c r="K4">
        <f>Province!AA4</f>
        <v>2762.9637436762227</v>
      </c>
      <c r="L4">
        <f>Province!AK4</f>
        <v>5610.5998095842606</v>
      </c>
      <c r="M4">
        <f>Province!AL4</f>
        <v>5610.5998095842606</v>
      </c>
      <c r="N4">
        <f>Province!AM4</f>
        <v>5610.5998095842606</v>
      </c>
      <c r="O4">
        <f>Province!AW4</f>
        <v>7490</v>
      </c>
      <c r="P4">
        <f>Province!AX4</f>
        <v>7490</v>
      </c>
      <c r="Q4">
        <f>Province!AY4</f>
        <v>7490</v>
      </c>
    </row>
    <row r="5" spans="1:17" x14ac:dyDescent="0.25">
      <c r="A5">
        <v>4</v>
      </c>
      <c r="B5" t="s">
        <v>63</v>
      </c>
      <c r="C5">
        <f>Province!M5</f>
        <v>2788.0038083148206</v>
      </c>
      <c r="D5">
        <f>Province!N5</f>
        <v>2788.0038083148206</v>
      </c>
      <c r="E5">
        <f>Province!O5</f>
        <v>2788.0038083148206</v>
      </c>
      <c r="F5">
        <f>Province!M5</f>
        <v>2788.0038083148206</v>
      </c>
      <c r="G5">
        <f>Province!N5</f>
        <v>2788.0038083148206</v>
      </c>
      <c r="H5">
        <f>Province!O5</f>
        <v>2788.0038083148206</v>
      </c>
      <c r="I5">
        <f>Province!Y5</f>
        <v>2785.0969645868472</v>
      </c>
      <c r="J5">
        <f>Province!Z5</f>
        <v>2785.0969645868472</v>
      </c>
      <c r="K5">
        <f>Province!AA5</f>
        <v>2785.0969645868472</v>
      </c>
      <c r="L5">
        <f>Province!AK5</f>
        <v>5655.6648682957793</v>
      </c>
      <c r="M5">
        <f>Province!AL5</f>
        <v>5655.6648682957793</v>
      </c>
      <c r="N5">
        <f>Province!AM5</f>
        <v>5655.6648682957793</v>
      </c>
      <c r="O5">
        <f>Province!AW5</f>
        <v>7550.0000000000009</v>
      </c>
      <c r="P5">
        <f>Province!AX5</f>
        <v>7550.0000000000009</v>
      </c>
      <c r="Q5">
        <f>Province!AY5</f>
        <v>7550.0000000000009</v>
      </c>
    </row>
    <row r="6" spans="1:17" x14ac:dyDescent="0.25">
      <c r="A6">
        <v>5</v>
      </c>
      <c r="B6" t="s">
        <v>67</v>
      </c>
      <c r="C6">
        <f>Province!M6</f>
        <v>4502.2744102401357</v>
      </c>
      <c r="D6">
        <f>Province!N6</f>
        <v>4502.2744102401357</v>
      </c>
      <c r="E6">
        <f>Province!O6</f>
        <v>4502.2744102401357</v>
      </c>
      <c r="F6">
        <f>Province!M6</f>
        <v>4502.2744102401357</v>
      </c>
      <c r="G6">
        <f>Province!N6</f>
        <v>4502.2744102401357</v>
      </c>
      <c r="H6">
        <f>Province!O6</f>
        <v>4502.2744102401357</v>
      </c>
      <c r="I6">
        <f>Province!Y6</f>
        <v>4518.865935919056</v>
      </c>
      <c r="J6">
        <f>Province!Z6</f>
        <v>4518.865935919056</v>
      </c>
      <c r="K6">
        <f>Province!AA6</f>
        <v>4518.865935919056</v>
      </c>
      <c r="L6">
        <f>Province!AK6</f>
        <v>9133.1852322014183</v>
      </c>
      <c r="M6">
        <f>Province!AL6</f>
        <v>9133.1852322014183</v>
      </c>
      <c r="N6">
        <f>Province!AM6</f>
        <v>9133.1852322014183</v>
      </c>
      <c r="O6">
        <f>Province!AW6</f>
        <v>12250.000000000002</v>
      </c>
      <c r="P6">
        <f>Province!AX6</f>
        <v>12250.000000000002</v>
      </c>
      <c r="Q6">
        <f>Province!AY6</f>
        <v>12250.000000000002</v>
      </c>
    </row>
    <row r="7" spans="1:17" x14ac:dyDescent="0.25">
      <c r="A7">
        <v>6</v>
      </c>
      <c r="B7" t="s">
        <v>71</v>
      </c>
      <c r="C7">
        <f>Province!M7</f>
        <v>1240.3469797947741</v>
      </c>
      <c r="D7">
        <f>Province!N7</f>
        <v>1240.3469797947741</v>
      </c>
      <c r="E7">
        <f>Province!O7</f>
        <v>1240.3469797947741</v>
      </c>
      <c r="F7">
        <f>Province!M7</f>
        <v>1240.3469797947741</v>
      </c>
      <c r="G7">
        <f>Province!N7</f>
        <v>1240.3469797947741</v>
      </c>
      <c r="H7">
        <f>Province!O7</f>
        <v>1240.3469797947741</v>
      </c>
      <c r="I7">
        <f>Province!Y7</f>
        <v>1254.2158516020236</v>
      </c>
      <c r="J7">
        <f>Province!Z7</f>
        <v>1254.2158516020236</v>
      </c>
      <c r="K7">
        <f>Province!AA7</f>
        <v>1254.2158516020236</v>
      </c>
      <c r="L7">
        <f>Province!AK7</f>
        <v>2516.132444726542</v>
      </c>
      <c r="M7">
        <f>Province!AL7</f>
        <v>2516.132444726542</v>
      </c>
      <c r="N7">
        <f>Province!AM7</f>
        <v>2516.132444726542</v>
      </c>
      <c r="O7">
        <f>Province!AW7</f>
        <v>3400</v>
      </c>
      <c r="P7">
        <f>Province!AX7</f>
        <v>3400</v>
      </c>
      <c r="Q7">
        <f>Province!AY7</f>
        <v>3400</v>
      </c>
    </row>
    <row r="8" spans="1:17" x14ac:dyDescent="0.25">
      <c r="A8">
        <v>7</v>
      </c>
      <c r="B8" t="s">
        <v>73</v>
      </c>
      <c r="C8">
        <f>Province!M8</f>
        <v>5361.2609753517399</v>
      </c>
      <c r="D8">
        <f>Province!N8</f>
        <v>5361.2609753517399</v>
      </c>
      <c r="E8">
        <f>Province!O8</f>
        <v>5361.2609753517399</v>
      </c>
      <c r="F8">
        <f>Province!M8</f>
        <v>5361.2609753517399</v>
      </c>
      <c r="G8">
        <f>Province!N8</f>
        <v>5361.2609753517399</v>
      </c>
      <c r="H8">
        <f>Province!O8</f>
        <v>5361.2609753517399</v>
      </c>
      <c r="I8">
        <f>Province!Y8</f>
        <v>5345.1728499156834</v>
      </c>
      <c r="J8">
        <f>Province!Z8</f>
        <v>5345.1728499156834</v>
      </c>
      <c r="K8">
        <f>Province!AA8</f>
        <v>5345.1728499156834</v>
      </c>
      <c r="L8">
        <f>Province!AK8</f>
        <v>10875.700835713531</v>
      </c>
      <c r="M8">
        <f>Province!AL8</f>
        <v>10875.700835713531</v>
      </c>
      <c r="N8">
        <f>Province!AM8</f>
        <v>10875.700835713531</v>
      </c>
      <c r="O8">
        <f>Province!AW8</f>
        <v>14490</v>
      </c>
      <c r="P8">
        <f>Province!AX8</f>
        <v>14490</v>
      </c>
      <c r="Q8">
        <f>Province!AY8</f>
        <v>14490</v>
      </c>
    </row>
    <row r="9" spans="1:17" x14ac:dyDescent="0.25">
      <c r="A9">
        <v>8</v>
      </c>
      <c r="B9" t="s">
        <v>81</v>
      </c>
      <c r="C9">
        <f>Province!M9</f>
        <v>3480.3766000211581</v>
      </c>
      <c r="D9">
        <f>Province!N9</f>
        <v>3480.3766000211581</v>
      </c>
      <c r="E9">
        <f>Province!O9</f>
        <v>3480.3766000211581</v>
      </c>
      <c r="F9">
        <f>Province!M9</f>
        <v>3480.3766000211581</v>
      </c>
      <c r="G9">
        <f>Province!N9</f>
        <v>3480.3766000211581</v>
      </c>
      <c r="H9">
        <f>Province!O9</f>
        <v>3480.3766000211581</v>
      </c>
      <c r="I9">
        <f>Province!Y9</f>
        <v>3467.537942664419</v>
      </c>
      <c r="J9">
        <f>Province!Z9</f>
        <v>3467.537942664419</v>
      </c>
      <c r="K9">
        <f>Province!AA9</f>
        <v>3467.537942664419</v>
      </c>
      <c r="L9">
        <f>Province!AK9</f>
        <v>7060.1925314714917</v>
      </c>
      <c r="M9">
        <f>Province!AL9</f>
        <v>7060.1925314714917</v>
      </c>
      <c r="N9">
        <f>Province!AM9</f>
        <v>7060.1925314714917</v>
      </c>
      <c r="O9">
        <f>Province!AW9</f>
        <v>9400.0000000000018</v>
      </c>
      <c r="P9">
        <f>Province!AX9</f>
        <v>9400.0000000000018</v>
      </c>
      <c r="Q9">
        <f>Province!AY9</f>
        <v>9400.0000000000018</v>
      </c>
    </row>
    <row r="10" spans="1:17" x14ac:dyDescent="0.25">
      <c r="A10">
        <v>9</v>
      </c>
      <c r="B10" t="s">
        <v>88</v>
      </c>
      <c r="C10">
        <f>Province!M10</f>
        <v>1540.2517719242571</v>
      </c>
      <c r="D10">
        <f>Province!N10</f>
        <v>1540.2517719242571</v>
      </c>
      <c r="E10">
        <f>Province!O10</f>
        <v>1540.2517719242571</v>
      </c>
      <c r="F10">
        <f>Province!M10</f>
        <v>1540.2517719242571</v>
      </c>
      <c r="G10">
        <f>Province!N10</f>
        <v>1540.2517719242571</v>
      </c>
      <c r="H10">
        <f>Province!O10</f>
        <v>1540.2517719242571</v>
      </c>
      <c r="I10">
        <f>Province!Y10</f>
        <v>1534.5699831365939</v>
      </c>
      <c r="J10">
        <f>Province!Z10</f>
        <v>1534.5699831365939</v>
      </c>
      <c r="K10">
        <f>Province!AA10</f>
        <v>1534.5699831365939</v>
      </c>
      <c r="L10">
        <f>Province!AK10</f>
        <v>3124.5107373320643</v>
      </c>
      <c r="M10">
        <f>Province!AL10</f>
        <v>3124.5107373320643</v>
      </c>
      <c r="N10">
        <f>Province!AM10</f>
        <v>3124.5107373320643</v>
      </c>
      <c r="O10">
        <f>Province!AW10</f>
        <v>4160.0000000000009</v>
      </c>
      <c r="P10">
        <f>Province!AX10</f>
        <v>4160.0000000000009</v>
      </c>
      <c r="Q10">
        <f>Province!AY10</f>
        <v>4160.0000000000009</v>
      </c>
    </row>
    <row r="11" spans="1:17" x14ac:dyDescent="0.25">
      <c r="A11">
        <v>10</v>
      </c>
      <c r="B11" t="s">
        <v>91</v>
      </c>
      <c r="C11">
        <f>Province!M11</f>
        <v>6072.1464085475527</v>
      </c>
      <c r="D11">
        <f>Province!N11</f>
        <v>6072.1464085475527</v>
      </c>
      <c r="E11">
        <f>Province!O11</f>
        <v>6072.1464085475527</v>
      </c>
      <c r="F11">
        <f>Province!M11</f>
        <v>6072.1464085475527</v>
      </c>
      <c r="G11">
        <f>Province!N11</f>
        <v>6072.1464085475527</v>
      </c>
      <c r="H11">
        <f>Province!O11</f>
        <v>6072.1464085475527</v>
      </c>
      <c r="I11">
        <f>Province!Y11</f>
        <v>6053.4359190556488</v>
      </c>
      <c r="J11">
        <f>Province!Z11</f>
        <v>6053.4359190556488</v>
      </c>
      <c r="K11">
        <f>Province!AA11</f>
        <v>6053.4359190556488</v>
      </c>
      <c r="L11">
        <f>Province!AK11</f>
        <v>12317.782714482177</v>
      </c>
      <c r="M11">
        <f>Province!AL11</f>
        <v>12317.782714482177</v>
      </c>
      <c r="N11">
        <f>Province!AM11</f>
        <v>12317.782714482177</v>
      </c>
      <c r="O11">
        <f>Province!AW11</f>
        <v>16410</v>
      </c>
      <c r="P11">
        <f>Province!AX11</f>
        <v>16410</v>
      </c>
      <c r="Q11">
        <f>Province!AY11</f>
        <v>16410</v>
      </c>
    </row>
    <row r="12" spans="1:17" x14ac:dyDescent="0.25">
      <c r="A12">
        <v>11</v>
      </c>
      <c r="B12" t="s">
        <v>96</v>
      </c>
      <c r="C12">
        <f>Province!M12</f>
        <v>2243.7321485242783</v>
      </c>
      <c r="D12">
        <f>Province!N12</f>
        <v>2243.7321485242783</v>
      </c>
      <c r="E12">
        <f>Province!O12</f>
        <v>2243.7321485242783</v>
      </c>
      <c r="F12">
        <f>Province!M12</f>
        <v>2243.7321485242783</v>
      </c>
      <c r="G12">
        <f>Province!N12</f>
        <v>2243.7321485242783</v>
      </c>
      <c r="H12">
        <f>Province!O12</f>
        <v>2243.7321485242783</v>
      </c>
      <c r="I12">
        <f>Province!Y12</f>
        <v>2239.144182124789</v>
      </c>
      <c r="J12">
        <f>Province!Z12</f>
        <v>2239.144182124789</v>
      </c>
      <c r="K12">
        <f>Province!AA12</f>
        <v>2239.144182124789</v>
      </c>
      <c r="L12">
        <f>Province!AK12</f>
        <v>4551.5709298635356</v>
      </c>
      <c r="M12">
        <f>Province!AL12</f>
        <v>4551.5709298635356</v>
      </c>
      <c r="N12">
        <f>Province!AM12</f>
        <v>4551.5709298635356</v>
      </c>
      <c r="O12">
        <f>Province!AW12</f>
        <v>6070</v>
      </c>
      <c r="P12">
        <f>Province!AX12</f>
        <v>6070</v>
      </c>
      <c r="Q12">
        <f>Province!AY12</f>
        <v>6070</v>
      </c>
    </row>
    <row r="13" spans="1:17" x14ac:dyDescent="0.25">
      <c r="A13">
        <v>12</v>
      </c>
      <c r="B13" t="s">
        <v>99</v>
      </c>
      <c r="C13">
        <f>Province!M13</f>
        <v>740.50565957896958</v>
      </c>
      <c r="D13">
        <f>Province!N13</f>
        <v>740.50565957896958</v>
      </c>
      <c r="E13">
        <f>Province!O13</f>
        <v>740.50565957896958</v>
      </c>
      <c r="F13">
        <f>Province!M13</f>
        <v>740.50565957896958</v>
      </c>
      <c r="G13">
        <f>Province!N13</f>
        <v>740.50565957896958</v>
      </c>
      <c r="H13">
        <f>Province!O13</f>
        <v>740.50565957896958</v>
      </c>
      <c r="I13">
        <f>Province!Y13</f>
        <v>793.10708263069137</v>
      </c>
      <c r="J13">
        <f>Province!Z13</f>
        <v>793.10708263069137</v>
      </c>
      <c r="K13">
        <f>Province!AA13</f>
        <v>793.10708263069137</v>
      </c>
      <c r="L13">
        <f>Province!AK13</f>
        <v>1502.1686237173385</v>
      </c>
      <c r="M13">
        <f>Province!AL13</f>
        <v>1502.1686237173385</v>
      </c>
      <c r="N13">
        <f>Province!AM13</f>
        <v>1502.1686237173385</v>
      </c>
      <c r="O13">
        <f>Province!AW13</f>
        <v>2150</v>
      </c>
      <c r="P13">
        <f>Province!AX13</f>
        <v>2150</v>
      </c>
      <c r="Q13">
        <f>Province!AY13</f>
        <v>2150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Q13"/>
  <sheetViews>
    <sheetView workbookViewId="0"/>
  </sheetViews>
  <sheetFormatPr defaultRowHeight="15" x14ac:dyDescent="0.25"/>
  <sheetData>
    <row r="1" spans="1:17" x14ac:dyDescent="0.25">
      <c r="A1" t="s">
        <v>26</v>
      </c>
      <c r="B1" t="s">
        <v>199</v>
      </c>
      <c r="C1" t="s">
        <v>200</v>
      </c>
      <c r="D1" t="s">
        <v>201</v>
      </c>
      <c r="E1" t="s">
        <v>202</v>
      </c>
      <c r="F1" t="s">
        <v>203</v>
      </c>
      <c r="G1" t="s">
        <v>204</v>
      </c>
      <c r="H1" t="s">
        <v>205</v>
      </c>
      <c r="I1" t="s">
        <v>206</v>
      </c>
      <c r="J1" t="s">
        <v>207</v>
      </c>
      <c r="K1" t="s">
        <v>208</v>
      </c>
      <c r="L1" t="s">
        <v>209</v>
      </c>
      <c r="M1" t="s">
        <v>210</v>
      </c>
      <c r="N1" t="s">
        <v>211</v>
      </c>
      <c r="O1" t="s">
        <v>212</v>
      </c>
      <c r="P1" t="s">
        <v>213</v>
      </c>
      <c r="Q1" t="s">
        <v>214</v>
      </c>
    </row>
    <row r="2" spans="1:17" x14ac:dyDescent="0.25">
      <c r="A2">
        <v>1</v>
      </c>
      <c r="B2" t="s">
        <v>51</v>
      </c>
      <c r="C2">
        <v>0</v>
      </c>
      <c r="D2">
        <v>0</v>
      </c>
      <c r="E2">
        <v>0</v>
      </c>
      <c r="F2">
        <v>0</v>
      </c>
      <c r="G2">
        <v>0</v>
      </c>
      <c r="H2">
        <v>0</v>
      </c>
      <c r="I2">
        <v>0</v>
      </c>
      <c r="J2">
        <v>0</v>
      </c>
      <c r="K2">
        <v>0</v>
      </c>
      <c r="L2">
        <v>0</v>
      </c>
      <c r="M2">
        <v>0</v>
      </c>
      <c r="N2">
        <v>0</v>
      </c>
      <c r="O2">
        <v>0</v>
      </c>
      <c r="P2">
        <v>0</v>
      </c>
      <c r="Q2">
        <v>0</v>
      </c>
    </row>
    <row r="3" spans="1:17" x14ac:dyDescent="0.25">
      <c r="A3">
        <v>2</v>
      </c>
      <c r="B3" t="s">
        <v>55</v>
      </c>
      <c r="C3">
        <v>0</v>
      </c>
      <c r="D3">
        <v>0</v>
      </c>
      <c r="E3">
        <v>0</v>
      </c>
      <c r="F3">
        <v>0</v>
      </c>
      <c r="G3">
        <v>0</v>
      </c>
      <c r="H3">
        <v>0</v>
      </c>
      <c r="I3">
        <v>0</v>
      </c>
      <c r="J3">
        <v>0</v>
      </c>
      <c r="K3">
        <v>0</v>
      </c>
      <c r="L3">
        <v>0</v>
      </c>
      <c r="M3">
        <v>0</v>
      </c>
      <c r="N3">
        <v>0</v>
      </c>
      <c r="O3">
        <v>0</v>
      </c>
      <c r="P3">
        <v>0</v>
      </c>
      <c r="Q3">
        <v>0</v>
      </c>
    </row>
    <row r="4" spans="1:17" x14ac:dyDescent="0.25">
      <c r="A4">
        <v>3</v>
      </c>
      <c r="B4" t="s">
        <v>59</v>
      </c>
      <c r="C4">
        <v>0</v>
      </c>
      <c r="D4">
        <v>0</v>
      </c>
      <c r="E4">
        <v>0</v>
      </c>
      <c r="F4">
        <v>0</v>
      </c>
      <c r="G4">
        <v>0</v>
      </c>
      <c r="H4">
        <v>0</v>
      </c>
      <c r="I4">
        <v>0</v>
      </c>
      <c r="J4">
        <v>0</v>
      </c>
      <c r="K4">
        <v>0</v>
      </c>
      <c r="L4">
        <v>0</v>
      </c>
      <c r="M4">
        <v>0</v>
      </c>
      <c r="N4">
        <v>0</v>
      </c>
      <c r="O4">
        <v>0</v>
      </c>
      <c r="P4">
        <v>0</v>
      </c>
      <c r="Q4">
        <v>0</v>
      </c>
    </row>
    <row r="5" spans="1:17" x14ac:dyDescent="0.25">
      <c r="A5">
        <v>4</v>
      </c>
      <c r="B5" t="s">
        <v>63</v>
      </c>
      <c r="C5">
        <v>0</v>
      </c>
      <c r="D5">
        <v>0</v>
      </c>
      <c r="E5">
        <v>0</v>
      </c>
      <c r="F5">
        <v>0</v>
      </c>
      <c r="G5">
        <v>0</v>
      </c>
      <c r="H5">
        <v>0</v>
      </c>
      <c r="I5">
        <v>0</v>
      </c>
      <c r="J5">
        <v>0</v>
      </c>
      <c r="K5">
        <v>0</v>
      </c>
      <c r="L5">
        <v>0</v>
      </c>
      <c r="M5">
        <v>0</v>
      </c>
      <c r="N5">
        <v>0</v>
      </c>
      <c r="O5">
        <v>0</v>
      </c>
      <c r="P5">
        <v>0</v>
      </c>
      <c r="Q5">
        <v>0</v>
      </c>
    </row>
    <row r="6" spans="1:17" x14ac:dyDescent="0.25">
      <c r="A6">
        <v>5</v>
      </c>
      <c r="B6" t="s">
        <v>67</v>
      </c>
      <c r="C6">
        <v>0</v>
      </c>
      <c r="D6">
        <v>0</v>
      </c>
      <c r="E6">
        <v>0</v>
      </c>
      <c r="F6">
        <v>0</v>
      </c>
      <c r="G6">
        <v>0</v>
      </c>
      <c r="H6">
        <v>0</v>
      </c>
      <c r="I6">
        <v>0</v>
      </c>
      <c r="J6">
        <v>0</v>
      </c>
      <c r="K6">
        <v>0</v>
      </c>
      <c r="L6">
        <v>0</v>
      </c>
      <c r="M6">
        <v>0</v>
      </c>
      <c r="N6">
        <v>0</v>
      </c>
      <c r="O6">
        <v>0</v>
      </c>
      <c r="P6">
        <v>0</v>
      </c>
      <c r="Q6">
        <v>0</v>
      </c>
    </row>
    <row r="7" spans="1:17" x14ac:dyDescent="0.25">
      <c r="A7">
        <v>6</v>
      </c>
      <c r="B7" t="s">
        <v>71</v>
      </c>
      <c r="C7">
        <v>0</v>
      </c>
      <c r="D7">
        <v>0</v>
      </c>
      <c r="E7">
        <v>0</v>
      </c>
      <c r="F7">
        <v>0</v>
      </c>
      <c r="G7">
        <v>0</v>
      </c>
      <c r="H7">
        <v>0</v>
      </c>
      <c r="I7">
        <v>0</v>
      </c>
      <c r="J7">
        <v>0</v>
      </c>
      <c r="K7">
        <v>0</v>
      </c>
      <c r="L7">
        <v>0</v>
      </c>
      <c r="M7">
        <v>0</v>
      </c>
      <c r="N7">
        <v>0</v>
      </c>
      <c r="O7">
        <v>0</v>
      </c>
      <c r="P7">
        <v>0</v>
      </c>
      <c r="Q7">
        <v>0</v>
      </c>
    </row>
    <row r="8" spans="1:17" x14ac:dyDescent="0.25">
      <c r="A8">
        <v>7</v>
      </c>
      <c r="B8" t="s">
        <v>73</v>
      </c>
      <c r="C8">
        <v>0</v>
      </c>
      <c r="D8">
        <v>0</v>
      </c>
      <c r="E8">
        <v>0</v>
      </c>
      <c r="F8">
        <v>0</v>
      </c>
      <c r="G8">
        <v>0</v>
      </c>
      <c r="H8">
        <v>0</v>
      </c>
      <c r="I8">
        <v>0</v>
      </c>
      <c r="J8">
        <v>0</v>
      </c>
      <c r="K8">
        <v>0</v>
      </c>
      <c r="L8">
        <v>0</v>
      </c>
      <c r="M8">
        <v>0</v>
      </c>
      <c r="N8">
        <v>0</v>
      </c>
      <c r="O8">
        <v>0</v>
      </c>
      <c r="P8">
        <v>0</v>
      </c>
      <c r="Q8">
        <v>0</v>
      </c>
    </row>
    <row r="9" spans="1:17" x14ac:dyDescent="0.25">
      <c r="A9">
        <v>8</v>
      </c>
      <c r="B9" t="s">
        <v>81</v>
      </c>
      <c r="C9">
        <v>0</v>
      </c>
      <c r="D9">
        <v>0</v>
      </c>
      <c r="E9">
        <v>0</v>
      </c>
      <c r="F9">
        <v>0</v>
      </c>
      <c r="G9">
        <v>0</v>
      </c>
      <c r="H9">
        <v>0</v>
      </c>
      <c r="I9">
        <v>0</v>
      </c>
      <c r="J9">
        <v>0</v>
      </c>
      <c r="K9">
        <v>0</v>
      </c>
      <c r="L9">
        <v>0</v>
      </c>
      <c r="M9">
        <v>0</v>
      </c>
      <c r="N9">
        <v>0</v>
      </c>
      <c r="O9">
        <v>0</v>
      </c>
      <c r="P9">
        <v>0</v>
      </c>
      <c r="Q9">
        <v>0</v>
      </c>
    </row>
    <row r="10" spans="1:17" x14ac:dyDescent="0.25">
      <c r="A10">
        <v>9</v>
      </c>
      <c r="B10" t="s">
        <v>88</v>
      </c>
      <c r="C10">
        <v>0</v>
      </c>
      <c r="D10">
        <v>0</v>
      </c>
      <c r="E10">
        <v>0</v>
      </c>
      <c r="F10">
        <v>0</v>
      </c>
      <c r="G10">
        <v>0</v>
      </c>
      <c r="H10">
        <v>0</v>
      </c>
      <c r="I10">
        <v>0</v>
      </c>
      <c r="J10">
        <v>0</v>
      </c>
      <c r="K10">
        <v>0</v>
      </c>
      <c r="L10">
        <v>0</v>
      </c>
      <c r="M10">
        <v>0</v>
      </c>
      <c r="N10">
        <v>0</v>
      </c>
      <c r="O10">
        <v>0</v>
      </c>
      <c r="P10">
        <v>0</v>
      </c>
      <c r="Q10">
        <v>0</v>
      </c>
    </row>
    <row r="11" spans="1:17" x14ac:dyDescent="0.25">
      <c r="A11">
        <v>10</v>
      </c>
      <c r="B11" t="s">
        <v>91</v>
      </c>
      <c r="C11">
        <v>0</v>
      </c>
      <c r="D11">
        <v>0</v>
      </c>
      <c r="E11">
        <v>0</v>
      </c>
      <c r="F11">
        <v>0</v>
      </c>
      <c r="G11">
        <v>0</v>
      </c>
      <c r="H11">
        <v>0</v>
      </c>
      <c r="I11">
        <v>0</v>
      </c>
      <c r="J11">
        <v>0</v>
      </c>
      <c r="K11">
        <v>0</v>
      </c>
      <c r="L11">
        <v>0</v>
      </c>
      <c r="M11">
        <v>0</v>
      </c>
      <c r="N11">
        <v>0</v>
      </c>
      <c r="O11">
        <v>0</v>
      </c>
      <c r="P11">
        <v>0</v>
      </c>
      <c r="Q11">
        <v>0</v>
      </c>
    </row>
    <row r="12" spans="1:17" x14ac:dyDescent="0.25">
      <c r="A12">
        <v>11</v>
      </c>
      <c r="B12" t="s">
        <v>96</v>
      </c>
      <c r="C12">
        <v>0</v>
      </c>
      <c r="D12">
        <v>0</v>
      </c>
      <c r="E12">
        <v>0</v>
      </c>
      <c r="F12">
        <v>0</v>
      </c>
      <c r="G12">
        <v>0</v>
      </c>
      <c r="H12">
        <v>0</v>
      </c>
      <c r="I12">
        <v>0</v>
      </c>
      <c r="J12">
        <v>0</v>
      </c>
      <c r="K12">
        <v>0</v>
      </c>
      <c r="L12">
        <v>0</v>
      </c>
      <c r="M12">
        <v>0</v>
      </c>
      <c r="N12">
        <v>0</v>
      </c>
      <c r="O12">
        <v>0</v>
      </c>
      <c r="P12">
        <v>0</v>
      </c>
      <c r="Q12">
        <v>0</v>
      </c>
    </row>
    <row r="13" spans="1:17" x14ac:dyDescent="0.25">
      <c r="A13">
        <v>12</v>
      </c>
      <c r="B13" t="s">
        <v>99</v>
      </c>
      <c r="C13">
        <v>0</v>
      </c>
      <c r="D13">
        <v>0</v>
      </c>
      <c r="E13">
        <v>0</v>
      </c>
      <c r="F13">
        <v>0</v>
      </c>
      <c r="G13">
        <v>0</v>
      </c>
      <c r="H13">
        <v>0</v>
      </c>
      <c r="I13">
        <v>0</v>
      </c>
      <c r="J13">
        <v>0</v>
      </c>
      <c r="K13">
        <v>0</v>
      </c>
      <c r="L13">
        <v>0</v>
      </c>
      <c r="M13">
        <v>0</v>
      </c>
      <c r="N13">
        <v>0</v>
      </c>
      <c r="O13">
        <v>0</v>
      </c>
      <c r="P13">
        <v>0</v>
      </c>
      <c r="Q13">
        <v>0</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Q13"/>
  <sheetViews>
    <sheetView workbookViewId="0"/>
  </sheetViews>
  <sheetFormatPr defaultRowHeight="15" x14ac:dyDescent="0.25"/>
  <sheetData>
    <row r="1" spans="1:17" x14ac:dyDescent="0.25">
      <c r="A1" t="s">
        <v>26</v>
      </c>
      <c r="B1" t="s">
        <v>199</v>
      </c>
      <c r="C1" t="s">
        <v>200</v>
      </c>
      <c r="D1" t="s">
        <v>201</v>
      </c>
      <c r="E1" t="s">
        <v>202</v>
      </c>
      <c r="F1" t="s">
        <v>203</v>
      </c>
      <c r="G1" t="s">
        <v>204</v>
      </c>
      <c r="H1" t="s">
        <v>205</v>
      </c>
      <c r="I1" t="s">
        <v>206</v>
      </c>
      <c r="J1" t="s">
        <v>207</v>
      </c>
      <c r="K1" t="s">
        <v>208</v>
      </c>
      <c r="L1" t="s">
        <v>209</v>
      </c>
      <c r="M1" t="s">
        <v>210</v>
      </c>
      <c r="N1" t="s">
        <v>211</v>
      </c>
      <c r="O1" t="s">
        <v>212</v>
      </c>
      <c r="P1" t="s">
        <v>213</v>
      </c>
      <c r="Q1" t="s">
        <v>214</v>
      </c>
    </row>
    <row r="2" spans="1:17" x14ac:dyDescent="0.25">
      <c r="A2">
        <v>1</v>
      </c>
      <c r="B2" t="s">
        <v>51</v>
      </c>
      <c r="C2">
        <f>-(Residential!C2+Industrial!C2+Recreation!C2+Nature!C2+BuildingLot!C2)</f>
        <v>-2568.0123798858294</v>
      </c>
      <c r="D2">
        <f>-(Residential!D2+Industrial!D2+Recreation!D2+Nature!D2+BuildingLot!D2)</f>
        <v>-3783.2907342522667</v>
      </c>
      <c r="E2">
        <f>-(Residential!E2+Industrial!E2+Recreation!E2+Nature!E2+BuildingLot!E2)</f>
        <v>-4453.3344832591174</v>
      </c>
      <c r="F2">
        <f>-(Residential!F2+Industrial!F2+Recreation!F2+Nature!F2+BuildingLot!F2)</f>
        <v>-2568.0123798858294</v>
      </c>
      <c r="G2">
        <f>-(Residential!G2+Industrial!G2+Recreation!G2+Nature!G2+BuildingLot!G2)</f>
        <v>-3783.2907342522667</v>
      </c>
      <c r="H2">
        <f>-(Residential!H2+Industrial!H2+Recreation!H2+Nature!H2+BuildingLot!H2)</f>
        <v>-4453.3344832591174</v>
      </c>
      <c r="I2">
        <f>-(Residential!I2+Industrial!I2+Recreation!I2+Nature!I2+BuildingLot!I2)</f>
        <v>-2109.3233298145951</v>
      </c>
      <c r="J2">
        <f>-(Residential!J2+Industrial!J2+Recreation!J2+Nature!J2+BuildingLot!J2)</f>
        <v>-2758.5986978163965</v>
      </c>
      <c r="K2">
        <f>-(Residential!K2+Industrial!K2+Recreation!K2+Nature!K2+BuildingLot!K2)</f>
        <v>-3207.0523302391862</v>
      </c>
      <c r="L2">
        <f>-(Residential!L2+Industrial!L2+Recreation!L2+Nature!L2+BuildingLot!L2)</f>
        <v>-3927.9825885511909</v>
      </c>
      <c r="M2">
        <f>-(Residential!M2+Industrial!M2+Recreation!M2+Nature!M2+BuildingLot!M2)</f>
        <v>-4791.4940941015993</v>
      </c>
      <c r="N2">
        <f>-(Residential!N2+Industrial!N2+Recreation!N2+Nature!N2+BuildingLot!N2)</f>
        <v>-5260.8821054035307</v>
      </c>
      <c r="O2">
        <f>-(Residential!O2+Industrial!O2+Recreation!O2+Nature!O2+BuildingLot!O2)</f>
        <v>-4758.1922242260034</v>
      </c>
      <c r="P2">
        <f>-(Residential!P2+Industrial!P2+Recreation!P2+Nature!P2+BuildingLot!P2)</f>
        <v>-5318.432504508507</v>
      </c>
      <c r="Q2">
        <f>-(Residential!Q2+Industrial!Q2+Recreation!Q2+Nature!Q2+BuildingLot!Q2)</f>
        <v>-5684.8466632470863</v>
      </c>
    </row>
    <row r="3" spans="1:17" x14ac:dyDescent="0.25">
      <c r="A3">
        <v>2</v>
      </c>
      <c r="B3" t="s">
        <v>55</v>
      </c>
      <c r="C3">
        <f>-(Residential!C3+Industrial!C3+Recreation!C3+Nature!C3+BuildingLot!C3)</f>
        <v>-3660.4176147533908</v>
      </c>
      <c r="D3">
        <f>-(Residential!D3+Industrial!D3+Recreation!D3+Nature!D3+BuildingLot!D3)</f>
        <v>-4899.0360047173972</v>
      </c>
      <c r="E3">
        <f>-(Residential!E3+Industrial!E3+Recreation!E3+Nature!E3+BuildingLot!E3)</f>
        <v>-6033.784046170349</v>
      </c>
      <c r="F3">
        <f>-(Residential!F3+Industrial!F3+Recreation!F3+Nature!F3+BuildingLot!F3)</f>
        <v>-3660.4176147533908</v>
      </c>
      <c r="G3">
        <f>-(Residential!G3+Industrial!G3+Recreation!G3+Nature!G3+BuildingLot!G3)</f>
        <v>-4899.0360047173972</v>
      </c>
      <c r="H3">
        <f>-(Residential!H3+Industrial!H3+Recreation!H3+Nature!H3+BuildingLot!H3)</f>
        <v>-6033.784046170349</v>
      </c>
      <c r="I3">
        <f>-(Residential!I3+Industrial!I3+Recreation!I3+Nature!I3+BuildingLot!I3)</f>
        <v>-3323.6365380458383</v>
      </c>
      <c r="J3">
        <f>-(Residential!J3+Industrial!J3+Recreation!J3+Nature!J3+BuildingLot!J3)</f>
        <v>-4158.1990740095443</v>
      </c>
      <c r="K3">
        <f>-(Residential!K3+Industrial!K3+Recreation!K3+Nature!K3+BuildingLot!K3)</f>
        <v>-5398.7087849577783</v>
      </c>
      <c r="L3">
        <f>-(Residential!L3+Industrial!L3+Recreation!L3+Nature!L3+BuildingLot!L3)</f>
        <v>-6077.2362798893337</v>
      </c>
      <c r="M3">
        <f>-(Residential!M3+Industrial!M3+Recreation!M3+Nature!M3+BuildingLot!M3)</f>
        <v>-6904.6342691247419</v>
      </c>
      <c r="N3">
        <f>-(Residential!N3+Industrial!N3+Recreation!N3+Nature!N3+BuildingLot!N3)</f>
        <v>-7651.4478843481847</v>
      </c>
      <c r="O3">
        <f>-(Residential!O3+Industrial!O3+Recreation!O3+Nature!O3+BuildingLot!O3)</f>
        <v>-7754.024297776813</v>
      </c>
      <c r="P3">
        <f>-(Residential!P3+Industrial!P3+Recreation!P3+Nature!P3+BuildingLot!P3)</f>
        <v>-8446.5546699978295</v>
      </c>
      <c r="Q3">
        <f>-(Residential!Q3+Industrial!Q3+Recreation!Q3+Nature!Q3+BuildingLot!Q3)</f>
        <v>-9469.5643809460635</v>
      </c>
    </row>
    <row r="4" spans="1:17" x14ac:dyDescent="0.25">
      <c r="A4">
        <v>3</v>
      </c>
      <c r="B4" t="s">
        <v>59</v>
      </c>
      <c r="C4">
        <f>-(Residential!C4+Industrial!C4+Recreation!C4+Nature!C4+BuildingLot!C4)</f>
        <v>-3624.9977153430818</v>
      </c>
      <c r="D4">
        <f>-(Residential!D4+Industrial!D4+Recreation!D4+Nature!D4+BuildingLot!D4)</f>
        <v>-4699.0090613626189</v>
      </c>
      <c r="E4">
        <f>-(Residential!E4+Industrial!E4+Recreation!E4+Nature!E4+BuildingLot!E4)</f>
        <v>-5584.4225514687259</v>
      </c>
      <c r="F4">
        <f>-(Residential!F4+Industrial!F4+Recreation!F4+Nature!F4+BuildingLot!F4)</f>
        <v>-3624.9977153430818</v>
      </c>
      <c r="G4">
        <f>-(Residential!G4+Industrial!G4+Recreation!G4+Nature!G4+BuildingLot!G4)</f>
        <v>-4699.0090613626189</v>
      </c>
      <c r="H4">
        <f>-(Residential!H4+Industrial!H4+Recreation!H4+Nature!H4+BuildingLot!H4)</f>
        <v>-5584.4225514687259</v>
      </c>
      <c r="I4">
        <f>-(Residential!I4+Industrial!I4+Recreation!I4+Nature!I4+BuildingLot!I4)</f>
        <v>-3285.4491237931816</v>
      </c>
      <c r="J4">
        <f>-(Residential!J4+Industrial!J4+Recreation!J4+Nature!J4+BuildingLot!J4)</f>
        <v>-3938.5558489393798</v>
      </c>
      <c r="K4">
        <f>-(Residential!K4+Industrial!K4+Recreation!K4+Nature!K4+BuildingLot!K4)</f>
        <v>-4641.7137436762223</v>
      </c>
      <c r="L4">
        <f>-(Residential!L4+Industrial!L4+Recreation!L4+Nature!L4+BuildingLot!L4)</f>
        <v>-6174.5229119008009</v>
      </c>
      <c r="M4">
        <f>-(Residential!M4+Industrial!M4+Recreation!M4+Nature!M4+BuildingLot!M4)</f>
        <v>-6879.4267897964764</v>
      </c>
      <c r="N4">
        <f>-(Residential!N4+Industrial!N4+Recreation!N4+Nature!N4+BuildingLot!N4)</f>
        <v>-7461.6271651484849</v>
      </c>
      <c r="O4">
        <f>-(Residential!O4+Industrial!O4+Recreation!O4+Nature!O4+BuildingLot!O4)</f>
        <v>-7921.7543859649122</v>
      </c>
      <c r="P4">
        <f>-(Residential!P4+Industrial!P4+Recreation!P4+Nature!P4+BuildingLot!P4)</f>
        <v>-8461.4473684210534</v>
      </c>
      <c r="Q4">
        <f>-(Residential!Q4+Industrial!Q4+Recreation!Q4+Nature!Q4+BuildingLot!Q4)</f>
        <v>-9042.5</v>
      </c>
    </row>
    <row r="5" spans="1:17" x14ac:dyDescent="0.25">
      <c r="A5">
        <v>4</v>
      </c>
      <c r="B5" t="s">
        <v>63</v>
      </c>
      <c r="C5">
        <f>-(Residential!C5+Industrial!C5+Recreation!C5+Nature!C5+BuildingLot!C5)</f>
        <v>-4548.375181295457</v>
      </c>
      <c r="D5">
        <f>-(Residential!D5+Industrial!D5+Recreation!D5+Nature!D5+BuildingLot!D5)</f>
        <v>-6748.839397521253</v>
      </c>
      <c r="E5">
        <f>-(Residential!E5+Industrial!E5+Recreation!E5+Nature!E5+BuildingLot!E5)</f>
        <v>-9126.7495961199511</v>
      </c>
      <c r="F5">
        <f>-(Residential!F5+Industrial!F5+Recreation!F5+Nature!F5+BuildingLot!F5)</f>
        <v>-4548.375181295457</v>
      </c>
      <c r="G5">
        <f>-(Residential!G5+Industrial!G5+Recreation!G5+Nature!G5+BuildingLot!G5)</f>
        <v>-6748.839397521253</v>
      </c>
      <c r="H5">
        <f>-(Residential!H5+Industrial!H5+Recreation!H5+Nature!H5+BuildingLot!H5)</f>
        <v>-9126.7495961199511</v>
      </c>
      <c r="I5">
        <f>-(Residential!I5+Industrial!I5+Recreation!I5+Nature!I5+BuildingLot!I5)</f>
        <v>-3739.5311789921493</v>
      </c>
      <c r="J5">
        <f>-(Residential!J5+Industrial!J5+Recreation!J5+Nature!J5+BuildingLot!J5)</f>
        <v>-4932.5739469987775</v>
      </c>
      <c r="K5">
        <f>-(Residential!K5+Industrial!K5+Recreation!K5+Nature!K5+BuildingLot!K5)</f>
        <v>-6050.2470380492359</v>
      </c>
      <c r="L5">
        <f>-(Residential!L5+Industrial!L5+Recreation!L5+Nature!L5+BuildingLot!L5)</f>
        <v>-6855.1910682345206</v>
      </c>
      <c r="M5">
        <f>-(Residential!M5+Industrial!M5+Recreation!M5+Nature!M5+BuildingLot!M5)</f>
        <v>-8354.5988181579487</v>
      </c>
      <c r="N5">
        <f>-(Residential!N5+Industrial!N5+Recreation!N5+Nature!N5+BuildingLot!N5)</f>
        <v>-9952.1811479041862</v>
      </c>
      <c r="O5">
        <f>-(Residential!O5+Industrial!O5+Recreation!O5+Nature!O5+BuildingLot!O5)</f>
        <v>-8348.4108225924392</v>
      </c>
      <c r="P5">
        <f>-(Residential!P5+Industrial!P5+Recreation!P5+Nature!P5+BuildingLot!P5)</f>
        <v>-9346.4243508329855</v>
      </c>
      <c r="Q5">
        <f>-(Residential!Q5+Industrial!Q5+Recreation!Q5+Nature!Q5+BuildingLot!Q5)</f>
        <v>-10275.215862936077</v>
      </c>
    </row>
    <row r="6" spans="1:17" x14ac:dyDescent="0.25">
      <c r="A6">
        <v>5</v>
      </c>
      <c r="B6" t="s">
        <v>67</v>
      </c>
      <c r="C6">
        <f>-(Residential!C6+Industrial!C6+Recreation!C6+Nature!C6+BuildingLot!C6)</f>
        <v>-8124.9064700114477</v>
      </c>
      <c r="D6">
        <f>-(Residential!D6+Industrial!D6+Recreation!D6+Nature!D6+BuildingLot!D6)</f>
        <v>-12653.19654472559</v>
      </c>
      <c r="E6">
        <f>-(Residential!E6+Industrial!E6+Recreation!E6+Nature!E6+BuildingLot!E6)</f>
        <v>-19264.755947754158</v>
      </c>
      <c r="F6">
        <f>-(Residential!F6+Industrial!F6+Recreation!F6+Nature!F6+BuildingLot!F6)</f>
        <v>-8124.9064700114477</v>
      </c>
      <c r="G6">
        <f>-(Residential!G6+Industrial!G6+Recreation!G6+Nature!G6+BuildingLot!G6)</f>
        <v>-12653.19654472559</v>
      </c>
      <c r="H6">
        <f>-(Residential!H6+Industrial!H6+Recreation!H6+Nature!H6+BuildingLot!H6)</f>
        <v>-19264.755947754158</v>
      </c>
      <c r="I6">
        <f>-(Residential!I6+Industrial!I6+Recreation!I6+Nature!I6+BuildingLot!I6)</f>
        <v>-5662.4802664743938</v>
      </c>
      <c r="J6">
        <f>-(Residential!J6+Industrial!J6+Recreation!J6+Nature!J6+BuildingLot!J6)</f>
        <v>-7091.9981796685661</v>
      </c>
      <c r="K6">
        <f>-(Residential!K6+Industrial!K6+Recreation!K6+Nature!K6+BuildingLot!K6)</f>
        <v>-8487.3015898838712</v>
      </c>
      <c r="L6">
        <f>-(Residential!L6+Industrial!L6+Recreation!L6+Nature!L6+BuildingLot!L6)</f>
        <v>-11699.525852992767</v>
      </c>
      <c r="M6">
        <f>-(Residential!M6+Industrial!M6+Recreation!M6+Nature!M6+BuildingLot!M6)</f>
        <v>-14907.451628981951</v>
      </c>
      <c r="N6">
        <f>-(Residential!N6+Industrial!N6+Recreation!N6+Nature!N6+BuildingLot!N6)</f>
        <v>-19396.519228731835</v>
      </c>
      <c r="O6">
        <f>-(Residential!O6+Industrial!O6+Recreation!O6+Nature!O6+BuildingLot!O6)</f>
        <v>-13237.590938742474</v>
      </c>
      <c r="P6">
        <f>-(Residential!P6+Industrial!P6+Recreation!P6+Nature!P6+BuildingLot!P6)</f>
        <v>-14472.079612170566</v>
      </c>
      <c r="Q6">
        <f>-(Residential!Q6+Industrial!Q6+Recreation!Q6+Nature!Q6+BuildingLot!Q6)</f>
        <v>-15613.633022385871</v>
      </c>
    </row>
    <row r="7" spans="1:17" x14ac:dyDescent="0.25">
      <c r="A7">
        <v>6</v>
      </c>
      <c r="B7" t="s">
        <v>71</v>
      </c>
      <c r="C7">
        <f>-(Residential!C7+Industrial!C7+Recreation!C7+Nature!C7+BuildingLot!C7)</f>
        <v>-4147.1974070822416</v>
      </c>
      <c r="D7">
        <f>-(Residential!D7+Industrial!D7+Recreation!D7+Nature!D7+BuildingLot!D7)</f>
        <v>-7780.7604411915745</v>
      </c>
      <c r="E7">
        <f>-(Residential!E7+Industrial!E7+Recreation!E7+Nature!E7+BuildingLot!E7)</f>
        <v>-13674.245860414567</v>
      </c>
      <c r="F7">
        <f>-(Residential!F7+Industrial!F7+Recreation!F7+Nature!F7+BuildingLot!F7)</f>
        <v>-4147.1974070822416</v>
      </c>
      <c r="G7">
        <f>-(Residential!G7+Industrial!G7+Recreation!G7+Nature!G7+BuildingLot!G7)</f>
        <v>-7780.7604411915745</v>
      </c>
      <c r="H7">
        <f>-(Residential!H7+Industrial!H7+Recreation!H7+Nature!H7+BuildingLot!H7)</f>
        <v>-13674.245860414567</v>
      </c>
      <c r="I7">
        <f>-(Residential!I7+Industrial!I7+Recreation!I7+Nature!I7+BuildingLot!I7)</f>
        <v>-2335.288002218269</v>
      </c>
      <c r="J7">
        <f>-(Residential!J7+Industrial!J7+Recreation!J7+Nature!J7+BuildingLot!J7)</f>
        <v>-3686.6281904885759</v>
      </c>
      <c r="K7">
        <f>-(Residential!K7+Industrial!K7+Recreation!K7+Nature!K7+BuildingLot!K7)</f>
        <v>-4449.737530484229</v>
      </c>
      <c r="L7">
        <f>-(Residential!L7+Industrial!L7+Recreation!L7+Nature!L7+BuildingLot!L7)</f>
        <v>-4689.7223984256661</v>
      </c>
      <c r="M7">
        <f>-(Residential!M7+Industrial!M7+Recreation!M7+Nature!M7+BuildingLot!M7)</f>
        <v>-7406.7098405495708</v>
      </c>
      <c r="N7">
        <f>-(Residential!N7+Industrial!N7+Recreation!N7+Nature!N7+BuildingLot!N7)</f>
        <v>-11538.883784362724</v>
      </c>
      <c r="O7">
        <f>-(Residential!O7+Industrial!O7+Recreation!O7+Nature!O7+BuildingLot!O7)</f>
        <v>-4358.1189342419766</v>
      </c>
      <c r="P7">
        <f>-(Residential!P7+Industrial!P7+Recreation!P7+Nature!P7+BuildingLot!P7)</f>
        <v>-5555.7676020444487</v>
      </c>
      <c r="Q7">
        <f>-(Residential!Q7+Industrial!Q7+Recreation!Q7+Nature!Q7+BuildingLot!Q7)</f>
        <v>-6196.7716788822072</v>
      </c>
    </row>
    <row r="8" spans="1:17" x14ac:dyDescent="0.25">
      <c r="A8">
        <v>7</v>
      </c>
      <c r="B8" t="s">
        <v>73</v>
      </c>
      <c r="C8">
        <f>-(Residential!C8+Industrial!C8+Recreation!C8+Nature!C8+BuildingLot!C8)</f>
        <v>-10073.018632723913</v>
      </c>
      <c r="D8">
        <f>-(Residential!D8+Industrial!D8+Recreation!D8+Nature!D8+BuildingLot!D8)</f>
        <v>-15962.715704439132</v>
      </c>
      <c r="E8">
        <f>-(Residential!E8+Industrial!E8+Recreation!E8+Nature!E8+BuildingLot!E8)</f>
        <v>-21368.97474339882</v>
      </c>
      <c r="F8">
        <f>-(Residential!F8+Industrial!F8+Recreation!F8+Nature!F8+BuildingLot!F8)</f>
        <v>-10073.018632723913</v>
      </c>
      <c r="G8">
        <f>-(Residential!G8+Industrial!G8+Recreation!G8+Nature!G8+BuildingLot!G8)</f>
        <v>-15962.715704439132</v>
      </c>
      <c r="H8">
        <f>-(Residential!H8+Industrial!H8+Recreation!H8+Nature!H8+BuildingLot!H8)</f>
        <v>-21368.97474339882</v>
      </c>
      <c r="I8">
        <f>-(Residential!I8+Industrial!I8+Recreation!I8+Nature!I8+BuildingLot!I8)</f>
        <v>-7445.2436473214084</v>
      </c>
      <c r="J8">
        <f>-(Residential!J8+Industrial!J8+Recreation!J8+Nature!J8+BuildingLot!J8)</f>
        <v>-10070.332144078564</v>
      </c>
      <c r="K8">
        <f>-(Residential!K8+Industrial!K8+Recreation!K8+Nature!K8+BuildingLot!K8)</f>
        <v>-11477.727991958098</v>
      </c>
      <c r="L8">
        <f>-(Residential!L8+Industrial!L8+Recreation!L8+Nature!L8+BuildingLot!L8)</f>
        <v>-14513.33098853197</v>
      </c>
      <c r="M8">
        <f>-(Residential!M8+Industrial!M8+Recreation!M8+Nature!M8+BuildingLot!M8)</f>
        <v>-19060.36867955502</v>
      </c>
      <c r="N8">
        <f>-(Residential!N8+Industrial!N8+Recreation!N8+Nature!N8+BuildingLot!N8)</f>
        <v>-22986.234275891755</v>
      </c>
      <c r="O8">
        <f>-(Residential!O8+Industrial!O8+Recreation!O8+Nature!O8+BuildingLot!O8)</f>
        <v>-16388.257931908651</v>
      </c>
      <c r="P8">
        <f>-(Residential!P8+Industrial!P8+Recreation!P8+Nature!P8+BuildingLot!P8)</f>
        <v>-18761.080346794461</v>
      </c>
      <c r="Q8">
        <f>-(Residential!Q8+Industrial!Q8+Recreation!Q8+Nature!Q8+BuildingLot!Q8)</f>
        <v>-19960.515668358206</v>
      </c>
    </row>
    <row r="9" spans="1:17" x14ac:dyDescent="0.25">
      <c r="A9">
        <v>8</v>
      </c>
      <c r="B9" t="s">
        <v>81</v>
      </c>
      <c r="C9">
        <f>-(Residential!C9+Industrial!C9+Recreation!C9+Nature!C9+BuildingLot!C9)</f>
        <v>-9525.4746207692078</v>
      </c>
      <c r="D9">
        <f>-(Residential!D9+Industrial!D9+Recreation!D9+Nature!D9+BuildingLot!D9)</f>
        <v>-17081.847146704269</v>
      </c>
      <c r="E9">
        <f>-(Residential!E9+Industrial!E9+Recreation!E9+Nature!E9+BuildingLot!E9)</f>
        <v>-27525.265939942528</v>
      </c>
      <c r="F9">
        <f>-(Residential!F9+Industrial!F9+Recreation!F9+Nature!F9+BuildingLot!F9)</f>
        <v>-9525.4746207692078</v>
      </c>
      <c r="G9">
        <f>-(Residential!G9+Industrial!G9+Recreation!G9+Nature!G9+BuildingLot!G9)</f>
        <v>-17081.847146704269</v>
      </c>
      <c r="H9">
        <f>-(Residential!H9+Industrial!H9+Recreation!H9+Nature!H9+BuildingLot!H9)</f>
        <v>-27525.265939942528</v>
      </c>
      <c r="I9">
        <f>-(Residential!I9+Industrial!I9+Recreation!I9+Nature!I9+BuildingLot!I9)</f>
        <v>-5980.8833139196413</v>
      </c>
      <c r="J9">
        <f>-(Residential!J9+Industrial!J9+Recreation!J9+Nature!J9+BuildingLot!J9)</f>
        <v>-9122.5650279886704</v>
      </c>
      <c r="K9">
        <f>-(Residential!K9+Industrial!K9+Recreation!K9+Nature!K9+BuildingLot!K9)</f>
        <v>-11871.307985350568</v>
      </c>
      <c r="L9">
        <f>-(Residential!L9+Industrial!L9+Recreation!L9+Nature!L9+BuildingLot!L9)</f>
        <v>-11571.388912875278</v>
      </c>
      <c r="M9">
        <f>-(Residential!M9+Industrial!M9+Recreation!M9+Nature!M9+BuildingLot!M9)</f>
        <v>-17210.384389630013</v>
      </c>
      <c r="N9">
        <f>-(Residential!N9+Industrial!N9+Recreation!N9+Nature!N9+BuildingLot!N9)</f>
        <v>-24456.688428769907</v>
      </c>
      <c r="O9">
        <f>-(Residential!O9+Industrial!O9+Recreation!O9+Nature!O9+BuildingLot!O9)</f>
        <v>-11636.06466950084</v>
      </c>
      <c r="P9">
        <f>-(Residential!P9+Industrial!P9+Recreation!P9+Nature!P9+BuildingLot!P9)</f>
        <v>-14431.145506376886</v>
      </c>
      <c r="Q9">
        <f>-(Residential!Q9+Industrial!Q9+Recreation!Q9+Nature!Q9+BuildingLot!Q9)</f>
        <v>-16718.177937422999</v>
      </c>
    </row>
    <row r="10" spans="1:17" x14ac:dyDescent="0.25">
      <c r="A10">
        <v>9</v>
      </c>
      <c r="B10" t="s">
        <v>88</v>
      </c>
      <c r="C10">
        <f>-(Residential!C10+Industrial!C10+Recreation!C10+Nature!C10+BuildingLot!C10)</f>
        <v>-1951.7517537493684</v>
      </c>
      <c r="D10">
        <f>-(Residential!D10+Industrial!D10+Recreation!D10+Nature!D10+BuildingLot!D10)</f>
        <v>-2466.1267310307576</v>
      </c>
      <c r="E10">
        <f>-(Residential!E10+Industrial!E10+Recreation!E10+Nature!E10+BuildingLot!E10)</f>
        <v>-2853.3726326701021</v>
      </c>
      <c r="F10">
        <f>-(Residential!F10+Industrial!F10+Recreation!F10+Nature!F10+BuildingLot!F10)</f>
        <v>-1951.7517537493684</v>
      </c>
      <c r="G10">
        <f>-(Residential!G10+Industrial!G10+Recreation!G10+Nature!G10+BuildingLot!G10)</f>
        <v>-2466.1267310307576</v>
      </c>
      <c r="H10">
        <f>-(Residential!H10+Industrial!H10+Recreation!H10+Nature!H10+BuildingLot!H10)</f>
        <v>-2853.3726326701021</v>
      </c>
      <c r="I10">
        <f>-(Residential!I10+Industrial!I10+Recreation!I10+Nature!I10+BuildingLot!I10)</f>
        <v>-1710.3594568208036</v>
      </c>
      <c r="J10">
        <f>-(Residential!J10+Industrial!J10+Recreation!J10+Nature!J10+BuildingLot!J10)</f>
        <v>-1930.0962989260659</v>
      </c>
      <c r="K10">
        <f>-(Residential!K10+Industrial!K10+Recreation!K10+Nature!K10+BuildingLot!K10)</f>
        <v>-2611.280509452381</v>
      </c>
      <c r="L10">
        <f>-(Residential!L10+Industrial!L10+Recreation!L10+Nature!L10+BuildingLot!L10)</f>
        <v>-3407.1946900132775</v>
      </c>
      <c r="M10">
        <f>-(Residential!M10+Industrial!M10+Recreation!M10+Nature!M10+BuildingLot!M10)</f>
        <v>-3760.5496308647944</v>
      </c>
      <c r="N10">
        <f>-(Residential!N10+Industrial!N10+Recreation!N10+Nature!N10+BuildingLot!N10)</f>
        <v>-4009.5660243074171</v>
      </c>
      <c r="O10">
        <f>-(Residential!O10+Industrial!O10+Recreation!O10+Nature!O10+BuildingLot!O10)</f>
        <v>-4305.2631578947376</v>
      </c>
      <c r="P10">
        <f>-(Residential!P10+Industrial!P10+Recreation!P10+Nature!P10+BuildingLot!P10)</f>
        <v>-4486.8421052631575</v>
      </c>
      <c r="Q10">
        <f>-(Residential!Q10+Industrial!Q10+Recreation!Q10+Nature!Q10+BuildingLot!Q10)</f>
        <v>-5049.7368421052633</v>
      </c>
    </row>
    <row r="11" spans="1:17" x14ac:dyDescent="0.25">
      <c r="A11">
        <v>10</v>
      </c>
      <c r="B11" t="s">
        <v>91</v>
      </c>
      <c r="C11">
        <f>-(Residential!C11+Industrial!C11+Recreation!C11+Nature!C11+BuildingLot!C11)</f>
        <v>-11478.45149990169</v>
      </c>
      <c r="D11">
        <f>-(Residential!D11+Industrial!D11+Recreation!D11+Nature!D11+BuildingLot!D11)</f>
        <v>-18236.332864094362</v>
      </c>
      <c r="E11">
        <f>-(Residential!E11+Industrial!E11+Recreation!E11+Nature!E11+BuildingLot!E11)</f>
        <v>-25059.22686820956</v>
      </c>
      <c r="F11">
        <f>-(Residential!F11+Industrial!F11+Recreation!F11+Nature!F11+BuildingLot!F11)</f>
        <v>-11478.45149990169</v>
      </c>
      <c r="G11">
        <f>-(Residential!G11+Industrial!G11+Recreation!G11+Nature!G11+BuildingLot!G11)</f>
        <v>-18236.332864094362</v>
      </c>
      <c r="H11">
        <f>-(Residential!H11+Industrial!H11+Recreation!H11+Nature!H11+BuildingLot!H11)</f>
        <v>-25059.22686820956</v>
      </c>
      <c r="I11">
        <f>-(Residential!I11+Industrial!I11+Recreation!I11+Nature!I11+BuildingLot!I11)</f>
        <v>-7697.7622340360922</v>
      </c>
      <c r="J11">
        <f>-(Residential!J11+Industrial!J11+Recreation!J11+Nature!J11+BuildingLot!J11)</f>
        <v>-9753.1701277616485</v>
      </c>
      <c r="K11">
        <f>-(Residential!K11+Industrial!K11+Recreation!K11+Nature!K11+BuildingLot!K11)</f>
        <v>-11018.638326606793</v>
      </c>
      <c r="L11">
        <f>-(Residential!L11+Industrial!L11+Recreation!L11+Nature!L11+BuildingLot!L11)</f>
        <v>-16136.677969770739</v>
      </c>
      <c r="M11">
        <f>-(Residential!M11+Industrial!M11+Recreation!M11+Nature!M11+BuildingLot!M11)</f>
        <v>-20910.297038881443</v>
      </c>
      <c r="N11">
        <f>-(Residential!N11+Industrial!N11+Recreation!N11+Nature!N11+BuildingLot!N11)</f>
        <v>-25597.322190537627</v>
      </c>
      <c r="O11">
        <f>-(Residential!O11+Industrial!O11+Recreation!O11+Nature!O11+BuildingLot!O11)</f>
        <v>-17801.636256500911</v>
      </c>
      <c r="P11">
        <f>-(Residential!P11+Industrial!P11+Recreation!P11+Nature!P11+BuildingLot!P11)</f>
        <v>-19541.181577127052</v>
      </c>
      <c r="Q11">
        <f>-(Residential!Q11+Industrial!Q11+Recreation!Q11+Nature!Q11+BuildingLot!Q11)</f>
        <v>-20579.610302287991</v>
      </c>
    </row>
    <row r="12" spans="1:17" x14ac:dyDescent="0.25">
      <c r="A12">
        <v>11</v>
      </c>
      <c r="B12" t="s">
        <v>96</v>
      </c>
      <c r="C12">
        <f>-(Residential!C12+Industrial!C12+Recreation!C12+Nature!C12+BuildingLot!C12)</f>
        <v>-3161.5604162596383</v>
      </c>
      <c r="D12">
        <f>-(Residential!D12+Industrial!D12+Recreation!D12+Nature!D12+BuildingLot!D12)</f>
        <v>-4308.8457509288382</v>
      </c>
      <c r="E12">
        <f>-(Residential!E12+Industrial!E12+Recreation!E12+Nature!E12+BuildingLot!E12)</f>
        <v>-4767.0533846221306</v>
      </c>
      <c r="F12">
        <f>-(Residential!F12+Industrial!F12+Recreation!F12+Nature!F12+BuildingLot!F12)</f>
        <v>-3161.5604162596383</v>
      </c>
      <c r="G12">
        <f>-(Residential!G12+Industrial!G12+Recreation!G12+Nature!G12+BuildingLot!G12)</f>
        <v>-4308.8457509288382</v>
      </c>
      <c r="H12">
        <f>-(Residential!H12+Industrial!H12+Recreation!H12+Nature!H12+BuildingLot!H12)</f>
        <v>-4767.0533846221306</v>
      </c>
      <c r="I12">
        <f>-(Residential!I12+Industrial!I12+Recreation!I12+Nature!I12+BuildingLot!I12)</f>
        <v>-2634.6704979142614</v>
      </c>
      <c r="J12">
        <f>-(Residential!J12+Industrial!J12+Recreation!J12+Nature!J12+BuildingLot!J12)</f>
        <v>-3129.0783926511017</v>
      </c>
      <c r="K12">
        <f>-(Residential!K12+Industrial!K12+Recreation!K12+Nature!K12+BuildingLot!K12)</f>
        <v>-3414.7362873879465</v>
      </c>
      <c r="L12">
        <f>-(Residential!L12+Industrial!L12+Recreation!L12+Nature!L12+BuildingLot!L12)</f>
        <v>-5174.1132230998055</v>
      </c>
      <c r="M12">
        <f>-(Residential!M12+Industrial!M12+Recreation!M12+Nature!M12+BuildingLot!M12)</f>
        <v>-5952.2910896451431</v>
      </c>
      <c r="N12">
        <f>-(Residential!N12+Industrial!N12+Recreation!N12+Nature!N12+BuildingLot!N12)</f>
        <v>-6227.6790512072894</v>
      </c>
      <c r="O12">
        <f>-(Residential!O12+Industrial!O12+Recreation!O12+Nature!O12+BuildingLot!O12)</f>
        <v>-6396.8421052631566</v>
      </c>
      <c r="P12">
        <f>-(Residential!P12+Industrial!P12+Recreation!P12+Nature!P12+BuildingLot!P12)</f>
        <v>-6805.3947368421032</v>
      </c>
      <c r="Q12">
        <f>-(Residential!Q12+Industrial!Q12+Recreation!Q12+Nature!Q12+BuildingLot!Q12)</f>
        <v>-7041.4473684210525</v>
      </c>
    </row>
    <row r="13" spans="1:17" x14ac:dyDescent="0.25">
      <c r="A13">
        <v>12</v>
      </c>
      <c r="B13" t="s">
        <v>99</v>
      </c>
      <c r="C13">
        <f>-(Residential!C13+Industrial!C13+Recreation!C13+Nature!C13+BuildingLot!C13)</f>
        <v>-3063.8184524818785</v>
      </c>
      <c r="D13">
        <f>-(Residential!D13+Industrial!D13+Recreation!D13+Nature!D13+BuildingLot!D13)</f>
        <v>-5967.9594436105144</v>
      </c>
      <c r="E13">
        <f>-(Residential!E13+Industrial!E13+Recreation!E13+Nature!E13+BuildingLot!E13)</f>
        <v>-9102.3529857130288</v>
      </c>
      <c r="F13">
        <f>-(Residential!F13+Industrial!F13+Recreation!F13+Nature!F13+BuildingLot!F13)</f>
        <v>-3063.8184524818785</v>
      </c>
      <c r="G13">
        <f>-(Residential!G13+Industrial!G13+Recreation!G13+Nature!G13+BuildingLot!G13)</f>
        <v>-5967.9594436105144</v>
      </c>
      <c r="H13">
        <f>-(Residential!H13+Industrial!H13+Recreation!H13+Nature!H13+BuildingLot!H13)</f>
        <v>-9102.3529857130288</v>
      </c>
      <c r="I13">
        <f>-(Residential!I13+Industrial!I13+Recreation!I13+Nature!I13+BuildingLot!I13)</f>
        <v>-1673.8724062718977</v>
      </c>
      <c r="J13">
        <f>-(Residential!J13+Industrial!J13+Recreation!J13+Nature!J13+BuildingLot!J13)</f>
        <v>-2774.8290608234056</v>
      </c>
      <c r="K13">
        <f>-(Residential!K13+Industrial!K13+Recreation!K13+Nature!K13+BuildingLot!K13)</f>
        <v>-3826.5810992422853</v>
      </c>
      <c r="L13">
        <f>-(Residential!L13+Industrial!L13+Recreation!L13+Nature!L13+BuildingLot!L13)</f>
        <v>-3116.0023637969325</v>
      </c>
      <c r="M13">
        <f>-(Residential!M13+Industrial!M13+Recreation!M13+Nature!M13+BuildingLot!M13)</f>
        <v>-5133.2945388964245</v>
      </c>
      <c r="N13">
        <f>-(Residential!N13+Industrial!N13+Recreation!N13+Nature!N13+BuildingLot!N13)</f>
        <v>-7264.4093924743465</v>
      </c>
      <c r="O13">
        <f>-(Residential!O13+Industrial!O13+Recreation!O13+Nature!O13+BuildingLot!O13)</f>
        <v>-2896.7887154540722</v>
      </c>
      <c r="P13">
        <f>-(Residential!P13+Industrial!P13+Recreation!P13+Nature!P13+BuildingLot!P13)</f>
        <v>-3830.2746097716627</v>
      </c>
      <c r="Q13">
        <f>-(Residential!Q13+Industrial!Q13+Recreation!Q13+Nature!Q13+BuildingLot!Q13)</f>
        <v>-4704.5924376642279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Explanation</vt:lpstr>
      <vt:lpstr>Years</vt:lpstr>
      <vt:lpstr>COROP</vt:lpstr>
      <vt:lpstr>Parameters</vt:lpstr>
      <vt:lpstr>Province</vt:lpstr>
      <vt:lpstr>Residential</vt:lpstr>
      <vt:lpstr>Industrial</vt:lpstr>
      <vt:lpstr>Recreation</vt:lpstr>
      <vt:lpstr>Nature</vt:lpstr>
      <vt:lpstr>BuildingLot</vt:lpstr>
      <vt:lpstr>Agriculture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Jip Claassens</cp:lastModifiedBy>
  <dcterms:created xsi:type="dcterms:W3CDTF">2026-10-22T20:58:35Z</dcterms:created>
  <dcterms:modified xsi:type="dcterms:W3CDTF">2026-10-22T20:58:56Z</dcterms:modified>
</cp:coreProperties>
</file>